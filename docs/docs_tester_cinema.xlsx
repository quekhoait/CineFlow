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5948" tabRatio="821" activeTab="1"/>
  </bookViews>
  <sheets>
    <sheet name="Cover" sheetId="97" r:id="rId1"/>
    <sheet name="Login" sheetId="122" r:id="rId2"/>
    <sheet name="Booking" sheetId="123" r:id="rId3"/>
    <sheet name="Samples (3)" sheetId="124" r:id="rId4"/>
    <sheet name="Samples (2)" sheetId="125" r:id="rId5"/>
    <sheet name="Test Report" sheetId="107" r:id="rId6"/>
  </sheets>
  <externalReferences>
    <externalReference r:id="rId7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<sst xmlns="http://schemas.openxmlformats.org/spreadsheetml/2006/main" count="110" uniqueCount="48">
  <si>
    <t>TEST CASE</t>
  </si>
  <si>
    <t>Version:</t>
  </si>
  <si>
    <t>Issue date:</t>
  </si>
  <si>
    <t>Project Name:</t>
  </si>
  <si>
    <t>CineFlow</t>
  </si>
  <si>
    <t>Project Code:</t>
  </si>
  <si>
    <t>CINECODE_01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</si>
  <si>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</si>
  <si>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</si>
  <si>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</si>
  <si>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</si>
  <si>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</si>
  <si>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</si>
  <si>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</si>
  <si>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</si>
  <si>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14/3/2026</t>
  </si>
  <si>
    <t>1.0</t>
  </si>
  <si>
    <t>Create struct directory</t>
  </si>
  <si>
    <t>Đinh Hưng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</si>
  <si>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</si>
  <si>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</si>
  <si>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Export to excel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</si>
  <si>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</si>
  <si>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</si>
  <si>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</si>
  <si>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</si>
  <si>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</si>
  <si>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</si>
  <si>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</si>
  <si>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</si>
  <si>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</si>
  <si>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</si>
  <si>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</si>
  <si>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</si>
  <si>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</si>
  <si>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</si>
  <si>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Google Login</t>
  </si>
  <si>
    <t>Sample Project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</si>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</sst>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;@"/>
    <numFmt numFmtId="179" formatCode="0.000"/>
  </numFmts>
  <fonts count="40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name val="ＭＳ Ｐゴシック"/>
      <charset val="128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1"/>
      <name val="Tahoma"/>
      <charset val="134"/>
    </font>
    <font>
      <b/>
      <sz val="10"/>
      <color indexed="60"/>
      <name val="Tahoma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7" borderId="35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36" applyNumberFormat="0" applyFill="0" applyAlignment="0" applyProtection="0">
      <alignment vertical="center"/>
    </xf>
    <xf numFmtId="0" fontId="24" fillId="0" borderId="36" applyNumberFormat="0" applyFill="0" applyAlignment="0" applyProtection="0">
      <alignment vertical="center"/>
    </xf>
    <xf numFmtId="0" fontId="25" fillId="0" borderId="37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8" borderId="38" applyNumberFormat="0" applyAlignment="0" applyProtection="0">
      <alignment vertical="center"/>
    </xf>
    <xf numFmtId="0" fontId="27" fillId="9" borderId="39" applyNumberFormat="0" applyAlignment="0" applyProtection="0">
      <alignment vertical="center"/>
    </xf>
    <xf numFmtId="0" fontId="28" fillId="9" borderId="38" applyNumberFormat="0" applyAlignment="0" applyProtection="0">
      <alignment vertical="center"/>
    </xf>
    <xf numFmtId="0" fontId="29" fillId="10" borderId="40" applyNumberFormat="0" applyAlignment="0" applyProtection="0">
      <alignment vertical="center"/>
    </xf>
    <xf numFmtId="0" fontId="30" fillId="0" borderId="41" applyNumberFormat="0" applyFill="0" applyAlignment="0" applyProtection="0">
      <alignment vertical="center"/>
    </xf>
    <xf numFmtId="0" fontId="31" fillId="0" borderId="42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0" fillId="0" borderId="0"/>
    <xf numFmtId="0" fontId="0" fillId="0" borderId="0" applyProtection="0"/>
    <xf numFmtId="0" fontId="37" fillId="0" borderId="0"/>
  </cellStyleXfs>
  <cellXfs count="141">
    <xf numFmtId="0" fontId="0" fillId="0" borderId="0" xfId="0"/>
    <xf numFmtId="0" fontId="0" fillId="0" borderId="0" xfId="0" applyAlignment="1">
      <alignment wrapText="1"/>
    </xf>
    <xf numFmtId="0" fontId="1" fillId="0" borderId="0" xfId="49" applyFont="1"/>
    <xf numFmtId="0" fontId="2" fillId="0" borderId="0" xfId="49" applyFont="1"/>
    <xf numFmtId="0" fontId="3" fillId="0" borderId="0" xfId="49" applyFont="1"/>
    <xf numFmtId="178" fontId="3" fillId="0" borderId="0" xfId="49" applyNumberFormat="1" applyFont="1"/>
    <xf numFmtId="0" fontId="3" fillId="0" borderId="0" xfId="0" applyFont="1"/>
    <xf numFmtId="178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5" xfId="0" applyFont="1" applyBorder="1"/>
    <xf numFmtId="0" fontId="5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4" fillId="2" borderId="8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vertical="top"/>
    </xf>
    <xf numFmtId="0" fontId="3" fillId="0" borderId="0" xfId="0" applyFont="1" applyBorder="1"/>
    <xf numFmtId="0" fontId="0" fillId="0" borderId="0" xfId="0" applyBorder="1"/>
    <xf numFmtId="0" fontId="2" fillId="3" borderId="0" xfId="50" applyFont="1" applyFill="1"/>
    <xf numFmtId="0" fontId="9" fillId="3" borderId="0" xfId="0" applyFont="1" applyFill="1" applyAlignment="1">
      <alignment horizontal="center" wrapText="1"/>
    </xf>
    <xf numFmtId="0" fontId="9" fillId="3" borderId="0" xfId="0" applyFont="1" applyFill="1" applyAlignment="1">
      <alignment wrapText="1"/>
    </xf>
    <xf numFmtId="0" fontId="9" fillId="3" borderId="0" xfId="0" applyFont="1" applyFill="1"/>
    <xf numFmtId="0" fontId="9" fillId="3" borderId="10" xfId="0" applyFont="1" applyFill="1" applyBorder="1" applyAlignment="1">
      <alignment horizontal="center" wrapText="1"/>
    </xf>
    <xf numFmtId="0" fontId="2" fillId="3" borderId="11" xfId="50" applyFont="1" applyFill="1" applyBorder="1" applyAlignment="1">
      <alignment horizontal="left" wrapText="1"/>
    </xf>
    <xf numFmtId="0" fontId="3" fillId="3" borderId="12" xfId="50" applyFont="1" applyFill="1" applyBorder="1" applyAlignment="1">
      <alignment horizontal="left" wrapText="1"/>
    </xf>
    <xf numFmtId="0" fontId="3" fillId="3" borderId="13" xfId="50" applyFont="1" applyFill="1" applyBorder="1" applyAlignment="1">
      <alignment horizontal="left" wrapText="1"/>
    </xf>
    <xf numFmtId="0" fontId="3" fillId="3" borderId="0" xfId="50" applyFont="1" applyFill="1" applyAlignment="1">
      <alignment horizontal="left" wrapText="1"/>
    </xf>
    <xf numFmtId="0" fontId="2" fillId="3" borderId="14" xfId="50" applyFont="1" applyFill="1" applyBorder="1" applyAlignment="1">
      <alignment horizontal="left" vertical="center" wrapText="1"/>
    </xf>
    <xf numFmtId="0" fontId="3" fillId="3" borderId="15" xfId="50" applyFont="1" applyFill="1" applyBorder="1" applyAlignment="1">
      <alignment horizontal="left" vertical="top" wrapText="1"/>
    </xf>
    <xf numFmtId="0" fontId="3" fillId="3" borderId="16" xfId="50" applyFont="1" applyFill="1" applyBorder="1" applyAlignment="1">
      <alignment horizontal="left" vertical="top" wrapText="1"/>
    </xf>
    <xf numFmtId="0" fontId="3" fillId="3" borderId="17" xfId="50" applyFont="1" applyFill="1" applyBorder="1" applyAlignment="1">
      <alignment horizontal="left" vertical="top" wrapText="1"/>
    </xf>
    <xf numFmtId="0" fontId="3" fillId="3" borderId="15" xfId="50" applyFont="1" applyFill="1" applyBorder="1" applyAlignment="1">
      <alignment horizontal="left" vertical="center" wrapText="1"/>
    </xf>
    <xf numFmtId="0" fontId="3" fillId="3" borderId="16" xfId="50" applyFont="1" applyFill="1" applyBorder="1" applyAlignment="1">
      <alignment horizontal="left" vertical="center" wrapText="1"/>
    </xf>
    <xf numFmtId="0" fontId="3" fillId="3" borderId="17" xfId="50" applyFont="1" applyFill="1" applyBorder="1" applyAlignment="1">
      <alignment horizontal="left" vertical="center" wrapText="1"/>
    </xf>
    <xf numFmtId="0" fontId="3" fillId="3" borderId="0" xfId="50" applyFont="1" applyFill="1" applyAlignment="1">
      <alignment horizontal="left" vertical="center" wrapText="1"/>
    </xf>
    <xf numFmtId="0" fontId="8" fillId="3" borderId="14" xfId="0" applyFont="1" applyFill="1" applyBorder="1" applyAlignment="1">
      <alignment horizontal="right"/>
    </xf>
    <xf numFmtId="0" fontId="8" fillId="3" borderId="18" xfId="0" applyFont="1" applyFill="1" applyBorder="1" applyAlignment="1">
      <alignment wrapText="1"/>
    </xf>
    <xf numFmtId="0" fontId="8" fillId="3" borderId="18" xfId="0" applyFont="1" applyFill="1" applyBorder="1" applyAlignment="1">
      <alignment horizontal="center" wrapText="1"/>
    </xf>
    <xf numFmtId="0" fontId="8" fillId="3" borderId="19" xfId="0" applyFont="1" applyFill="1" applyBorder="1" applyAlignment="1">
      <alignment horizontal="center" wrapText="1"/>
    </xf>
    <xf numFmtId="0" fontId="8" fillId="3" borderId="0" xfId="0" applyFont="1" applyFill="1" applyAlignment="1">
      <alignment horizontal="center" wrapText="1"/>
    </xf>
    <xf numFmtId="0" fontId="8" fillId="3" borderId="20" xfId="0" applyFont="1" applyFill="1" applyBorder="1" applyAlignment="1">
      <alignment horizontal="right"/>
    </xf>
    <xf numFmtId="0" fontId="8" fillId="3" borderId="21" xfId="0" applyFont="1" applyFill="1" applyBorder="1" applyAlignment="1">
      <alignment wrapText="1"/>
    </xf>
    <xf numFmtId="0" fontId="8" fillId="0" borderId="21" xfId="0" applyFont="1" applyBorder="1" applyAlignment="1">
      <alignment horizontal="center"/>
    </xf>
    <xf numFmtId="1" fontId="8" fillId="3" borderId="22" xfId="0" applyNumberFormat="1" applyFont="1" applyFill="1" applyBorder="1" applyAlignment="1">
      <alignment horizontal="center" wrapText="1"/>
    </xf>
    <xf numFmtId="1" fontId="8" fillId="3" borderId="0" xfId="0" applyNumberFormat="1" applyFont="1" applyFill="1" applyAlignment="1">
      <alignment horizontal="center" wrapText="1"/>
    </xf>
    <xf numFmtId="0" fontId="8" fillId="3" borderId="23" xfId="0" applyFont="1" applyFill="1" applyBorder="1" applyAlignment="1">
      <alignment horizontal="center"/>
    </xf>
    <xf numFmtId="0" fontId="4" fillId="4" borderId="24" xfId="50" applyFont="1" applyFill="1" applyBorder="1" applyAlignment="1">
      <alignment horizontal="center" vertical="center" wrapText="1"/>
    </xf>
    <xf numFmtId="0" fontId="4" fillId="4" borderId="24" xfId="50" applyFont="1" applyFill="1" applyBorder="1" applyAlignment="1">
      <alignment vertical="center" wrapText="1"/>
    </xf>
    <xf numFmtId="0" fontId="4" fillId="4" borderId="25" xfId="50" applyFont="1" applyFill="1" applyBorder="1" applyAlignment="1">
      <alignment horizontal="center" vertical="center" wrapText="1"/>
    </xf>
    <xf numFmtId="0" fontId="4" fillId="4" borderId="0" xfId="50" applyFont="1" applyFill="1" applyAlignment="1">
      <alignment horizontal="center" vertical="center" wrapText="1"/>
    </xf>
    <xf numFmtId="0" fontId="4" fillId="4" borderId="26" xfId="50" applyFont="1" applyFill="1" applyBorder="1" applyAlignment="1">
      <alignment horizontal="center" vertical="center" wrapText="1"/>
    </xf>
    <xf numFmtId="0" fontId="4" fillId="4" borderId="27" xfId="50" applyFont="1" applyFill="1" applyBorder="1" applyAlignment="1">
      <alignment horizontal="center" vertical="center" wrapText="1"/>
    </xf>
    <xf numFmtId="0" fontId="4" fillId="4" borderId="18" xfId="50" applyFont="1" applyFill="1" applyBorder="1" applyAlignment="1">
      <alignment horizontal="center" vertical="center" wrapText="1"/>
    </xf>
    <xf numFmtId="0" fontId="4" fillId="4" borderId="18" xfId="50" applyFont="1" applyFill="1" applyBorder="1" applyAlignment="1">
      <alignment vertical="center" wrapText="1"/>
    </xf>
    <xf numFmtId="0" fontId="4" fillId="4" borderId="28" xfId="50" applyFont="1" applyFill="1" applyBorder="1" applyAlignment="1">
      <alignment horizontal="center" vertical="center" wrapText="1"/>
    </xf>
    <xf numFmtId="0" fontId="4" fillId="4" borderId="29" xfId="50" applyFont="1" applyFill="1" applyBorder="1" applyAlignment="1">
      <alignment horizontal="center" vertical="center" wrapText="1"/>
    </xf>
    <xf numFmtId="0" fontId="4" fillId="4" borderId="30" xfId="50" applyFont="1" applyFill="1" applyBorder="1" applyAlignment="1">
      <alignment horizontal="center" vertical="center" wrapText="1"/>
    </xf>
    <xf numFmtId="0" fontId="12" fillId="5" borderId="16" xfId="0" applyFont="1" applyFill="1" applyBorder="1" applyAlignment="1">
      <alignment horizontal="left" vertical="center"/>
    </xf>
    <xf numFmtId="0" fontId="13" fillId="6" borderId="15" xfId="50" applyFont="1" applyFill="1" applyBorder="1" applyAlignment="1">
      <alignment horizontal="left" vertical="center" wrapText="1"/>
    </xf>
    <xf numFmtId="0" fontId="13" fillId="6" borderId="16" xfId="50" applyFont="1" applyFill="1" applyBorder="1" applyAlignment="1">
      <alignment horizontal="left" vertical="center" wrapText="1"/>
    </xf>
    <xf numFmtId="179" fontId="8" fillId="0" borderId="18" xfId="0" applyNumberFormat="1" applyFont="1" applyBorder="1" applyAlignment="1">
      <alignment horizontal="left" vertical="top" wrapText="1"/>
    </xf>
    <xf numFmtId="0" fontId="8" fillId="0" borderId="18" xfId="0" applyFont="1" applyBorder="1" applyAlignment="1">
      <alignment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8" fillId="0" borderId="31" xfId="0" applyFont="1" applyBorder="1" applyAlignment="1">
      <alignment horizontal="left" vertical="top" wrapText="1"/>
    </xf>
    <xf numFmtId="0" fontId="13" fillId="6" borderId="15" xfId="50" applyFont="1" applyFill="1" applyBorder="1" applyAlignment="1">
      <alignment horizontal="center" vertical="center" wrapText="1"/>
    </xf>
    <xf numFmtId="0" fontId="13" fillId="6" borderId="16" xfId="50" applyFont="1" applyFill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top" wrapText="1"/>
    </xf>
    <xf numFmtId="0" fontId="8" fillId="0" borderId="32" xfId="0" applyFont="1" applyBorder="1" applyAlignment="1">
      <alignment horizontal="left" vertical="top" wrapText="1"/>
    </xf>
    <xf numFmtId="0" fontId="13" fillId="0" borderId="15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center" vertical="top" wrapText="1"/>
    </xf>
    <xf numFmtId="0" fontId="13" fillId="0" borderId="16" xfId="0" applyFont="1" applyBorder="1" applyAlignment="1">
      <alignment horizontal="left" vertical="top" wrapText="1"/>
    </xf>
    <xf numFmtId="0" fontId="8" fillId="3" borderId="0" xfId="0" applyFont="1" applyFill="1" applyAlignment="1">
      <alignment wrapText="1"/>
    </xf>
    <xf numFmtId="0" fontId="8" fillId="3" borderId="0" xfId="0" applyFont="1" applyFill="1"/>
    <xf numFmtId="0" fontId="8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vertical="center" wrapText="1"/>
    </xf>
    <xf numFmtId="0" fontId="8" fillId="3" borderId="29" xfId="0" applyFont="1" applyFill="1" applyBorder="1" applyAlignment="1">
      <alignment horizontal="center" wrapText="1"/>
    </xf>
    <xf numFmtId="0" fontId="4" fillId="4" borderId="32" xfId="50" applyFont="1" applyFill="1" applyBorder="1" applyAlignment="1">
      <alignment horizontal="center" vertical="center" wrapText="1"/>
    </xf>
    <xf numFmtId="0" fontId="10" fillId="3" borderId="0" xfId="0" applyFont="1" applyFill="1"/>
    <xf numFmtId="0" fontId="12" fillId="5" borderId="31" xfId="0" applyFont="1" applyFill="1" applyBorder="1" applyAlignment="1">
      <alignment horizontal="left" vertical="center"/>
    </xf>
    <xf numFmtId="0" fontId="13" fillId="6" borderId="31" xfId="50" applyFont="1" applyFill="1" applyBorder="1" applyAlignment="1">
      <alignment horizontal="left" vertical="center" wrapText="1"/>
    </xf>
    <xf numFmtId="0" fontId="14" fillId="0" borderId="15" xfId="0" applyFont="1" applyBorder="1" applyAlignment="1">
      <alignment horizontal="left" vertical="top" wrapText="1"/>
    </xf>
    <xf numFmtId="179" fontId="8" fillId="0" borderId="15" xfId="0" applyNumberFormat="1" applyFont="1" applyBorder="1" applyAlignment="1">
      <alignment horizontal="left" vertical="top" wrapText="1"/>
    </xf>
    <xf numFmtId="0" fontId="8" fillId="0" borderId="16" xfId="0" applyFont="1" applyBorder="1" applyAlignment="1">
      <alignment vertical="top" wrapText="1"/>
    </xf>
    <xf numFmtId="0" fontId="8" fillId="0" borderId="16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14" fillId="0" borderId="16" xfId="0" applyFont="1" applyBorder="1" applyAlignment="1">
      <alignment horizontal="left" vertical="top" wrapText="1"/>
    </xf>
    <xf numFmtId="0" fontId="8" fillId="0" borderId="31" xfId="0" applyFont="1" applyBorder="1" applyAlignment="1">
      <alignment horizontal="left" vertical="top" wrapText="1"/>
    </xf>
    <xf numFmtId="0" fontId="1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5" fillId="0" borderId="0" xfId="0" applyFont="1"/>
    <xf numFmtId="0" fontId="15" fillId="3" borderId="0" xfId="0" applyFont="1" applyFill="1"/>
    <xf numFmtId="0" fontId="1" fillId="3" borderId="0" xfId="0" applyFont="1" applyFill="1"/>
    <xf numFmtId="0" fontId="16" fillId="3" borderId="0" xfId="0" applyFont="1" applyFill="1"/>
    <xf numFmtId="0" fontId="3" fillId="3" borderId="0" xfId="0" applyFont="1" applyFill="1" applyAlignment="1">
      <alignment horizontal="left"/>
    </xf>
    <xf numFmtId="0" fontId="3" fillId="3" borderId="0" xfId="0" applyFont="1" applyFill="1"/>
    <xf numFmtId="15" fontId="3" fillId="0" borderId="0" xfId="0" applyNumberFormat="1" applyFont="1" applyAlignment="1">
      <alignment horizontal="left"/>
    </xf>
    <xf numFmtId="0" fontId="16" fillId="0" borderId="0" xfId="0" applyFont="1"/>
    <xf numFmtId="178" fontId="4" fillId="2" borderId="2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5" fontId="3" fillId="0" borderId="5" xfId="0" applyNumberFormat="1" applyFont="1" applyBorder="1" applyAlignment="1">
      <alignment horizontal="left" vertical="center"/>
    </xf>
    <xf numFmtId="15" fontId="3" fillId="0" borderId="5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15" fontId="3" fillId="0" borderId="5" xfId="0" applyNumberFormat="1" applyFont="1" applyBorder="1" applyAlignment="1">
      <alignment horizontal="center" vertical="center" wrapText="1"/>
    </xf>
    <xf numFmtId="178" fontId="3" fillId="0" borderId="1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15" fillId="0" borderId="6" xfId="0" applyFont="1" applyBorder="1" applyAlignment="1">
      <alignment vertical="center"/>
    </xf>
    <xf numFmtId="178" fontId="3" fillId="0" borderId="7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_Vanco_CR022a1_TestCase_v0.1" xfId="50"/>
    <cellStyle name="標準_結合試験(AllOvertheWorld)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www.wps.cn/officeDocument/2023/relationships/customStorage" Target="customStorage/customStorage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Validation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23"/>
  <sheetViews>
    <sheetView showGridLines="0" workbookViewId="0">
      <selection activeCell="C6" sqref="C6:E6"/>
    </sheetView>
  </sheetViews>
  <sheetFormatPr defaultColWidth="9" defaultRowHeight="13.8" outlineLevelCol="7"/>
  <cols>
    <col min="1" max="1" width="9" style="112"/>
    <col min="2" max="2" width="14.1666666666667" style="112" customWidth="1"/>
    <col min="3" max="3" width="17.2222222222222" style="112" customWidth="1"/>
    <col min="4" max="4" width="15" style="112" customWidth="1"/>
    <col min="5" max="5" width="32.5" style="112" customWidth="1"/>
    <col min="6" max="6" width="23.8333333333333" style="112" customWidth="1"/>
    <col min="7" max="7" width="20.5" style="112" customWidth="1"/>
    <col min="8" max="8" width="26.6666666666667" style="112" customWidth="1"/>
    <col min="9" max="16384" width="9" style="112"/>
  </cols>
  <sheetData>
    <row r="2" ht="22.2" spans="1:7">
      <c r="A2" s="113"/>
      <c r="B2" s="114" t="s">
        <v>0</v>
      </c>
      <c r="C2" s="113"/>
      <c r="D2" s="113"/>
      <c r="E2" s="113"/>
      <c r="F2" s="113"/>
      <c r="G2" s="113"/>
    </row>
    <row r="3" spans="1:7">
      <c r="A3" s="113"/>
      <c r="B3" s="115" t="s">
        <v>1</v>
      </c>
      <c r="C3" s="116">
        <v>1</v>
      </c>
      <c r="D3" s="117"/>
      <c r="E3" s="113"/>
      <c r="F3" s="113"/>
      <c r="G3" s="113"/>
    </row>
    <row r="4" spans="1:7">
      <c r="A4" s="113"/>
      <c r="B4" s="115" t="s">
        <v>2</v>
      </c>
      <c r="C4" s="118">
        <v>46362</v>
      </c>
      <c r="D4" s="118"/>
      <c r="E4" s="113"/>
      <c r="F4" s="113"/>
      <c r="G4" s="113"/>
    </row>
    <row r="5" ht="14.55" spans="1:7">
      <c r="A5" s="113"/>
      <c r="B5" s="115"/>
      <c r="C5" s="117"/>
      <c r="D5" s="117"/>
      <c r="E5" s="113"/>
      <c r="F5" s="113"/>
      <c r="G5" s="113"/>
    </row>
    <row r="6" ht="14.25" customHeight="1" spans="1:7">
      <c r="A6" s="113"/>
      <c r="B6" s="115" t="s">
        <v>3</v>
      </c>
      <c r="C6" s="44" t="s">
        <v>4</v>
      </c>
      <c r="D6" s="44"/>
      <c r="E6" s="45"/>
      <c r="F6" s="113"/>
      <c r="G6" s="113"/>
    </row>
    <row r="7" spans="1:7">
      <c r="A7" s="113"/>
      <c r="B7" s="115" t="s">
        <v>5</v>
      </c>
      <c r="C7" s="44" t="s">
        <v>6</v>
      </c>
      <c r="D7" s="44"/>
      <c r="E7" s="45"/>
      <c r="F7" s="113"/>
      <c r="G7" s="113"/>
    </row>
    <row r="8" spans="1:7">
      <c r="A8" s="113"/>
      <c r="B8" s="115"/>
      <c r="C8" s="113"/>
      <c r="D8" s="113"/>
      <c r="E8" s="113"/>
      <c r="F8" s="113"/>
      <c r="G8" s="113"/>
    </row>
    <row r="9" spans="1:7">
      <c r="A9" s="113"/>
      <c r="B9" s="6"/>
      <c r="C9" s="6"/>
      <c r="D9" s="6"/>
      <c r="E9" s="6"/>
      <c r="F9" s="113"/>
      <c r="G9" s="113"/>
    </row>
    <row r="10" spans="2:2">
      <c r="B10" s="119" t="s">
        <v>7</v>
      </c>
    </row>
    <row r="11" s="110" customFormat="1" ht="26.4" spans="2:8">
      <c r="B11" s="120" t="s">
        <v>8</v>
      </c>
      <c r="C11" s="121" t="s">
        <v>9</v>
      </c>
      <c r="D11" s="121" t="s">
        <v>10</v>
      </c>
      <c r="E11" s="121" t="s">
        <v>11</v>
      </c>
      <c r="F11" s="121" t="s">
        <v>12</v>
      </c>
      <c r="G11" s="122" t="s">
        <v>13</v>
      </c>
      <c r="H11" s="123" t="s">
        <v>14</v>
      </c>
    </row>
    <row r="12" s="110" customFormat="1" spans="2:8">
      <c r="B12" s="124" t="s">
        <v>15</v>
      </c>
      <c r="C12" s="125" t="s">
        <v>16</v>
      </c>
      <c r="D12" s="126"/>
      <c r="E12" s="127" t="s">
        <v>17</v>
      </c>
      <c r="F12" s="128" t="s">
        <v>18</v>
      </c>
      <c r="G12" s="129"/>
      <c r="H12" s="130"/>
    </row>
    <row r="13" s="110" customFormat="1" spans="2:8">
      <c r="B13" s="7"/>
      <c r="C13" s="125"/>
      <c r="D13" s="126"/>
      <c r="E13" s="127"/>
      <c r="F13" s="128"/>
      <c r="G13" s="131"/>
      <c r="H13" s="130"/>
    </row>
    <row r="14" s="111" customFormat="1" ht="13.2" spans="2:8">
      <c r="B14" s="124"/>
      <c r="C14" s="125"/>
      <c r="D14" s="126"/>
      <c r="E14" s="127"/>
      <c r="F14" s="128"/>
      <c r="G14" s="131"/>
      <c r="H14" s="130"/>
    </row>
    <row r="15" s="111" customFormat="1" ht="13.2" spans="2:8">
      <c r="B15" s="132"/>
      <c r="C15" s="133"/>
      <c r="D15" s="134"/>
      <c r="E15" s="134"/>
      <c r="F15" s="134"/>
      <c r="G15" s="134"/>
      <c r="H15" s="135"/>
    </row>
    <row r="16" s="110" customFormat="1" spans="2:8">
      <c r="B16" s="124"/>
      <c r="C16" s="125"/>
      <c r="D16" s="126"/>
      <c r="E16" s="134"/>
      <c r="F16" s="134"/>
      <c r="G16" s="134"/>
      <c r="H16" s="136"/>
    </row>
    <row r="17" s="110" customFormat="1" spans="2:8">
      <c r="B17" s="132"/>
      <c r="C17" s="133"/>
      <c r="D17" s="134"/>
      <c r="E17" s="134"/>
      <c r="F17" s="134"/>
      <c r="G17" s="134"/>
      <c r="H17" s="135"/>
    </row>
    <row r="18" s="110" customFormat="1" spans="2:8">
      <c r="B18" s="132"/>
      <c r="C18" s="133"/>
      <c r="D18" s="134"/>
      <c r="E18" s="134"/>
      <c r="F18" s="134"/>
      <c r="G18" s="134"/>
      <c r="H18" s="135"/>
    </row>
    <row r="19" s="110" customFormat="1" spans="2:8">
      <c r="B19" s="132"/>
      <c r="C19" s="133"/>
      <c r="D19" s="134"/>
      <c r="E19" s="134"/>
      <c r="F19" s="134"/>
      <c r="G19" s="134"/>
      <c r="H19" s="135"/>
    </row>
    <row r="20" s="110" customFormat="1" spans="2:8">
      <c r="B20" s="132"/>
      <c r="C20" s="133"/>
      <c r="D20" s="134"/>
      <c r="E20" s="134"/>
      <c r="F20" s="134"/>
      <c r="G20" s="134"/>
      <c r="H20" s="135"/>
    </row>
    <row r="21" s="110" customFormat="1" spans="2:8">
      <c r="B21" s="132"/>
      <c r="C21" s="133"/>
      <c r="D21" s="134"/>
      <c r="E21" s="134"/>
      <c r="F21" s="134"/>
      <c r="G21" s="134"/>
      <c r="H21" s="135"/>
    </row>
    <row r="22" s="110" customFormat="1" spans="2:8">
      <c r="B22" s="132"/>
      <c r="C22" s="133"/>
      <c r="D22" s="134"/>
      <c r="E22" s="134"/>
      <c r="F22" s="134"/>
      <c r="G22" s="134"/>
      <c r="H22" s="135"/>
    </row>
    <row r="23" s="110" customFormat="1" spans="2:8">
      <c r="B23" s="137"/>
      <c r="C23" s="138"/>
      <c r="D23" s="139"/>
      <c r="E23" s="139"/>
      <c r="F23" s="139"/>
      <c r="G23" s="139"/>
      <c r="H23" s="140"/>
    </row>
  </sheetData>
  <mergeCells count="2">
    <mergeCell ref="C6:E6"/>
    <mergeCell ref="C7:E7"/>
  </mergeCells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56"/>
  <sheetViews>
    <sheetView tabSelected="1" workbookViewId="0">
      <selection activeCell="D16" sqref="D16:F16"/>
    </sheetView>
  </sheetViews>
  <sheetFormatPr defaultColWidth="8.83333333333333" defaultRowHeight="13.2"/>
  <cols>
    <col min="1" max="1" width="15.6666666666667" customWidth="1"/>
    <col min="2" max="2" width="18.1666666666667" customWidth="1"/>
    <col min="3" max="3" width="42.1666666666667" customWidth="1"/>
    <col min="6" max="6" width="23.6666666666667" customWidth="1"/>
    <col min="7" max="7" width="18.5" hidden="1" customWidth="1"/>
    <col min="8" max="8" width="38" customWidth="1"/>
    <col min="9" max="9" width="17.1666666666667" customWidth="1"/>
    <col min="10" max="10" width="9" style="36"/>
    <col min="11" max="11" width="18" style="37" customWidth="1"/>
  </cols>
  <sheetData>
    <row r="1" s="30" customFormat="1" ht="12.75" customHeight="1" spans="1:12">
      <c r="A1" s="38" t="s">
        <v>0</v>
      </c>
      <c r="B1" s="39"/>
      <c r="C1" s="39"/>
      <c r="D1" s="39"/>
      <c r="E1" s="40"/>
      <c r="F1" s="40"/>
      <c r="G1" s="40"/>
      <c r="H1" s="40"/>
      <c r="I1" s="40"/>
      <c r="J1" s="93"/>
      <c r="K1" s="40"/>
      <c r="L1" s="41"/>
    </row>
    <row r="2" s="30" customFormat="1" ht="11.25" customHeight="1" spans="1:12">
      <c r="A2" s="41"/>
      <c r="B2" s="42"/>
      <c r="C2" s="42"/>
      <c r="D2" s="42"/>
      <c r="E2" s="40"/>
      <c r="F2" s="40"/>
      <c r="G2" s="40"/>
      <c r="H2" s="40"/>
      <c r="I2" s="40"/>
      <c r="J2" s="93"/>
      <c r="K2" s="40"/>
      <c r="L2" s="41"/>
    </row>
    <row r="3" s="31" customFormat="1" ht="15" customHeight="1" spans="1:12">
      <c r="A3" s="43" t="s">
        <v>19</v>
      </c>
      <c r="B3" s="44" t="s">
        <v>4</v>
      </c>
      <c r="C3" s="44"/>
      <c r="D3" s="45"/>
      <c r="E3" s="46"/>
      <c r="F3" s="46"/>
      <c r="G3" s="46"/>
      <c r="H3" s="46"/>
      <c r="I3" s="59"/>
      <c r="J3" s="59"/>
      <c r="K3" s="59"/>
      <c r="L3" s="94"/>
    </row>
    <row r="4" s="31" customFormat="1" spans="1:12">
      <c r="A4" s="47" t="s">
        <v>20</v>
      </c>
      <c r="B4" s="48" t="s">
        <v>21</v>
      </c>
      <c r="C4" s="49"/>
      <c r="D4" s="50"/>
      <c r="E4" s="46"/>
      <c r="F4" s="46"/>
      <c r="G4" s="46"/>
      <c r="H4" s="46"/>
      <c r="I4" s="59"/>
      <c r="J4" s="59"/>
      <c r="K4" s="59"/>
      <c r="L4" s="94"/>
    </row>
    <row r="5" s="32" customFormat="1" ht="26.4" spans="1:12">
      <c r="A5" s="47" t="s">
        <v>22</v>
      </c>
      <c r="B5" s="51" t="s">
        <v>23</v>
      </c>
      <c r="C5" s="52"/>
      <c r="D5" s="53"/>
      <c r="E5" s="54"/>
      <c r="F5" s="54"/>
      <c r="G5" s="54"/>
      <c r="H5" s="54"/>
      <c r="I5" s="95"/>
      <c r="J5" s="95"/>
      <c r="K5" s="95"/>
      <c r="L5" s="96"/>
    </row>
    <row r="6" s="31" customFormat="1" ht="15" customHeight="1" spans="1:12">
      <c r="A6" s="55" t="s">
        <v>24</v>
      </c>
      <c r="B6" s="56">
        <f>COUNTIF(J12:J18,"Pass")</f>
        <v>0</v>
      </c>
      <c r="C6" s="57" t="s">
        <v>25</v>
      </c>
      <c r="D6" s="58">
        <f>COUNTIF(J10:J737,"Pending")</f>
        <v>0</v>
      </c>
      <c r="E6" s="59"/>
      <c r="F6" s="59"/>
      <c r="G6" s="59"/>
      <c r="H6" s="59"/>
      <c r="I6" s="59"/>
      <c r="J6" s="59"/>
      <c r="K6" s="59"/>
      <c r="L6" s="94"/>
    </row>
    <row r="7" s="31" customFormat="1" ht="15" customHeight="1" spans="1:12">
      <c r="A7" s="60" t="s">
        <v>26</v>
      </c>
      <c r="B7" s="61">
        <f>COUNTIF(J12:J18,"Fail")</f>
        <v>0</v>
      </c>
      <c r="C7" s="62" t="s">
        <v>27</v>
      </c>
      <c r="D7" s="63">
        <f>COUNTA(A12:A18)-15</f>
        <v>-14</v>
      </c>
      <c r="E7" s="64"/>
      <c r="F7" s="64"/>
      <c r="G7" s="64"/>
      <c r="H7" s="64"/>
      <c r="I7" s="59"/>
      <c r="J7" s="59"/>
      <c r="K7" s="59"/>
      <c r="L7" s="94"/>
    </row>
    <row r="8" s="31" customFormat="1" ht="15" customHeight="1" spans="1:12">
      <c r="A8" s="65"/>
      <c r="B8" s="65"/>
      <c r="C8" s="65"/>
      <c r="D8" s="65"/>
      <c r="E8" s="59"/>
      <c r="F8" s="59"/>
      <c r="G8" s="59"/>
      <c r="H8" s="59"/>
      <c r="I8" s="59"/>
      <c r="J8" s="97"/>
      <c r="K8" s="97"/>
      <c r="L8" s="94"/>
    </row>
    <row r="9" s="33" customFormat="1" ht="12" customHeight="1" spans="1:12">
      <c r="A9" s="66" t="s">
        <v>28</v>
      </c>
      <c r="B9" s="67" t="s">
        <v>29</v>
      </c>
      <c r="C9" s="66" t="s">
        <v>30</v>
      </c>
      <c r="D9" s="68" t="s">
        <v>31</v>
      </c>
      <c r="E9" s="69"/>
      <c r="F9" s="69"/>
      <c r="G9" s="70"/>
      <c r="H9" s="71" t="s">
        <v>32</v>
      </c>
      <c r="I9" s="98" t="s">
        <v>33</v>
      </c>
      <c r="J9" s="98" t="s">
        <v>34</v>
      </c>
      <c r="K9" s="98" t="s">
        <v>35</v>
      </c>
      <c r="L9" s="99"/>
    </row>
    <row r="10" s="31" customFormat="1" ht="12" customHeight="1" spans="1:12">
      <c r="A10" s="72"/>
      <c r="B10" s="73"/>
      <c r="C10" s="72"/>
      <c r="D10" s="74"/>
      <c r="E10" s="75"/>
      <c r="F10" s="75"/>
      <c r="G10" s="76"/>
      <c r="H10" s="66"/>
      <c r="I10" s="66"/>
      <c r="J10" s="66"/>
      <c r="K10" s="66"/>
      <c r="L10" s="94"/>
    </row>
    <row r="11" s="34" customFormat="1" ht="15" spans="1:11">
      <c r="A11" s="77"/>
      <c r="B11" s="77"/>
      <c r="C11" s="77"/>
      <c r="D11" s="77"/>
      <c r="E11" s="77"/>
      <c r="F11" s="77"/>
      <c r="G11" s="77"/>
      <c r="H11" s="77"/>
      <c r="I11" s="77"/>
      <c r="J11" s="77"/>
      <c r="K11" s="100"/>
    </row>
    <row r="12" s="35" customFormat="1" spans="1:11">
      <c r="A12" s="78" t="s">
        <v>36</v>
      </c>
      <c r="B12" s="79"/>
      <c r="C12" s="79"/>
      <c r="D12" s="79"/>
      <c r="E12" s="79"/>
      <c r="F12" s="79"/>
      <c r="G12" s="79"/>
      <c r="H12" s="79"/>
      <c r="I12" s="79"/>
      <c r="J12" s="79"/>
      <c r="K12" s="101"/>
    </row>
    <row r="13" s="35" customFormat="1" outlineLevel="1" spans="1:11">
      <c r="A13" s="103"/>
      <c r="B13" s="104"/>
      <c r="C13" s="105"/>
      <c r="D13" s="106"/>
      <c r="E13" s="84"/>
      <c r="F13" s="84"/>
      <c r="G13" s="107"/>
      <c r="H13" s="84"/>
      <c r="I13" s="108"/>
      <c r="J13" s="105"/>
      <c r="K13" s="109"/>
    </row>
    <row r="14" s="35" customFormat="1" outlineLevel="1" spans="1:11">
      <c r="A14" s="80"/>
      <c r="B14" s="81"/>
      <c r="C14" s="82"/>
      <c r="D14" s="83"/>
      <c r="E14" s="84"/>
      <c r="F14" s="84"/>
      <c r="G14" s="85"/>
      <c r="H14" s="84"/>
      <c r="I14" s="102"/>
      <c r="J14" s="82"/>
      <c r="K14" s="82"/>
    </row>
    <row r="15" s="35" customFormat="1" outlineLevel="1" spans="1:11">
      <c r="A15" s="86"/>
      <c r="B15" s="87"/>
      <c r="C15" s="87"/>
      <c r="D15" s="79"/>
      <c r="E15" s="79"/>
      <c r="F15" s="79"/>
      <c r="G15" s="79"/>
      <c r="H15" s="79"/>
      <c r="I15" s="79"/>
      <c r="J15" s="79"/>
      <c r="K15" s="101"/>
    </row>
    <row r="16" s="35" customFormat="1" ht="63.75" customHeight="1" outlineLevel="1" spans="1:11">
      <c r="A16" s="80"/>
      <c r="B16" s="88"/>
      <c r="C16" s="89"/>
      <c r="D16" s="90"/>
      <c r="E16" s="84"/>
      <c r="F16" s="84"/>
      <c r="G16" s="85"/>
      <c r="H16" s="84"/>
      <c r="I16" s="83"/>
      <c r="J16" s="82"/>
      <c r="K16" s="82"/>
    </row>
    <row r="17" s="35" customFormat="1" outlineLevel="1" spans="1:11">
      <c r="A17" s="86"/>
      <c r="B17" s="87"/>
      <c r="C17" s="87"/>
      <c r="D17" s="79"/>
      <c r="E17" s="79"/>
      <c r="F17" s="79"/>
      <c r="G17" s="79"/>
      <c r="H17" s="79"/>
      <c r="I17" s="79"/>
      <c r="J17" s="79"/>
      <c r="K17" s="101"/>
    </row>
    <row r="18" s="35" customFormat="1" ht="63.75" customHeight="1" outlineLevel="1" spans="1:11">
      <c r="A18" s="80"/>
      <c r="B18" s="91"/>
      <c r="C18" s="82"/>
      <c r="D18" s="90"/>
      <c r="E18" s="92"/>
      <c r="F18" s="92"/>
      <c r="G18" s="85"/>
      <c r="H18" s="84"/>
      <c r="I18" s="83"/>
      <c r="J18" s="82"/>
      <c r="K18" s="82"/>
    </row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</sheetData>
  <mergeCells count="2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4:F14"/>
    <mergeCell ref="A15:C15"/>
    <mergeCell ref="D16:F16"/>
    <mergeCell ref="A17:C17"/>
    <mergeCell ref="D18:F18"/>
    <mergeCell ref="A9:A10"/>
    <mergeCell ref="B9:B10"/>
    <mergeCell ref="C9:C10"/>
    <mergeCell ref="H9:H10"/>
    <mergeCell ref="I9:I10"/>
    <mergeCell ref="J9:J10"/>
    <mergeCell ref="K9:K10"/>
    <mergeCell ref="B1:D2"/>
    <mergeCell ref="D9:G10"/>
  </mergeCells>
  <pageMargins left="0.75" right="0.75" top="1" bottom="1" header="0.5" footer="0.5"/>
  <pageSetup paperSize="1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55"/>
  <sheetViews>
    <sheetView workbookViewId="0">
      <selection activeCell="B3" sqref="B3:D3"/>
    </sheetView>
  </sheetViews>
  <sheetFormatPr defaultColWidth="8.83333333333333" defaultRowHeight="13.2"/>
  <cols>
    <col min="1" max="1" width="15.6666666666667" customWidth="1"/>
    <col min="2" max="2" width="18.1666666666667" customWidth="1"/>
    <col min="3" max="3" width="42.1666666666667" customWidth="1"/>
    <col min="6" max="6" width="23.6666666666667" customWidth="1"/>
    <col min="7" max="7" width="18.5" hidden="1" customWidth="1"/>
    <col min="8" max="8" width="38" customWidth="1"/>
    <col min="9" max="9" width="17.1666666666667" customWidth="1"/>
    <col min="10" max="10" width="9" style="36"/>
    <col min="11" max="11" width="18" style="37" customWidth="1"/>
  </cols>
  <sheetData>
    <row r="1" s="30" customFormat="1" ht="12.75" customHeight="1" spans="1:12">
      <c r="A1" s="38" t="s">
        <v>0</v>
      </c>
      <c r="B1" s="39"/>
      <c r="C1" s="39"/>
      <c r="D1" s="39"/>
      <c r="E1" s="40"/>
      <c r="F1" s="40"/>
      <c r="G1" s="40"/>
      <c r="H1" s="40"/>
      <c r="I1" s="40"/>
      <c r="J1" s="93"/>
      <c r="K1" s="40"/>
      <c r="L1" s="41"/>
    </row>
    <row r="2" s="30" customFormat="1" ht="11.25" customHeight="1" spans="1:12">
      <c r="A2" s="41"/>
      <c r="B2" s="42"/>
      <c r="C2" s="42"/>
      <c r="D2" s="42"/>
      <c r="E2" s="40"/>
      <c r="F2" s="40"/>
      <c r="G2" s="40"/>
      <c r="H2" s="40"/>
      <c r="I2" s="40"/>
      <c r="J2" s="93"/>
      <c r="K2" s="40"/>
      <c r="L2" s="41"/>
    </row>
    <row r="3" s="31" customFormat="1" ht="15" customHeight="1" spans="1:12">
      <c r="A3" s="43" t="s">
        <v>19</v>
      </c>
      <c r="B3" s="44" t="s">
        <v>4</v>
      </c>
      <c r="C3" s="44"/>
      <c r="D3" s="45"/>
      <c r="E3" s="46"/>
      <c r="F3" s="46"/>
      <c r="G3" s="46"/>
      <c r="H3" s="46"/>
      <c r="I3" s="59"/>
      <c r="J3" s="59"/>
      <c r="K3" s="59"/>
      <c r="L3" s="94"/>
    </row>
    <row r="4" s="31" customFormat="1" spans="1:12">
      <c r="A4" s="47" t="s">
        <v>20</v>
      </c>
      <c r="B4" s="48" t="s">
        <v>21</v>
      </c>
      <c r="C4" s="49"/>
      <c r="D4" s="50"/>
      <c r="E4" s="46"/>
      <c r="F4" s="46"/>
      <c r="G4" s="46"/>
      <c r="H4" s="46"/>
      <c r="I4" s="59"/>
      <c r="J4" s="59"/>
      <c r="K4" s="59"/>
      <c r="L4" s="94"/>
    </row>
    <row r="5" s="32" customFormat="1" ht="26.4" spans="1:12">
      <c r="A5" s="47" t="s">
        <v>22</v>
      </c>
      <c r="B5" s="51" t="s">
        <v>23</v>
      </c>
      <c r="C5" s="52"/>
      <c r="D5" s="53"/>
      <c r="E5" s="54"/>
      <c r="F5" s="54"/>
      <c r="G5" s="54"/>
      <c r="H5" s="54"/>
      <c r="I5" s="95"/>
      <c r="J5" s="95"/>
      <c r="K5" s="95"/>
      <c r="L5" s="96"/>
    </row>
    <row r="6" s="31" customFormat="1" ht="15" customHeight="1" spans="1:12">
      <c r="A6" s="55" t="s">
        <v>24</v>
      </c>
      <c r="B6" s="56">
        <f>COUNTIF(J12:J17,"Pass")</f>
        <v>0</v>
      </c>
      <c r="C6" s="57" t="s">
        <v>25</v>
      </c>
      <c r="D6" s="58">
        <f>COUNTIF(J10:J736,"Pending")</f>
        <v>0</v>
      </c>
      <c r="E6" s="59"/>
      <c r="F6" s="59"/>
      <c r="G6" s="59"/>
      <c r="H6" s="59"/>
      <c r="I6" s="59"/>
      <c r="J6" s="59"/>
      <c r="K6" s="59"/>
      <c r="L6" s="94"/>
    </row>
    <row r="7" s="31" customFormat="1" ht="15" customHeight="1" spans="1:12">
      <c r="A7" s="60" t="s">
        <v>26</v>
      </c>
      <c r="B7" s="61">
        <f>COUNTIF(J12:J17,"Fail")</f>
        <v>0</v>
      </c>
      <c r="C7" s="62" t="s">
        <v>27</v>
      </c>
      <c r="D7" s="63">
        <f>COUNTA(A12:A17)-15</f>
        <v>-15</v>
      </c>
      <c r="E7" s="64"/>
      <c r="F7" s="64"/>
      <c r="G7" s="64"/>
      <c r="H7" s="64"/>
      <c r="I7" s="59"/>
      <c r="J7" s="59"/>
      <c r="K7" s="59"/>
      <c r="L7" s="94"/>
    </row>
    <row r="8" s="31" customFormat="1" ht="15" customHeight="1" spans="1:12">
      <c r="A8" s="65"/>
      <c r="B8" s="65"/>
      <c r="C8" s="65"/>
      <c r="D8" s="65"/>
      <c r="E8" s="59"/>
      <c r="F8" s="59"/>
      <c r="G8" s="59"/>
      <c r="H8" s="59"/>
      <c r="I8" s="59"/>
      <c r="J8" s="97"/>
      <c r="K8" s="97"/>
      <c r="L8" s="94"/>
    </row>
    <row r="9" s="33" customFormat="1" ht="12" customHeight="1" spans="1:12">
      <c r="A9" s="66" t="s">
        <v>28</v>
      </c>
      <c r="B9" s="67" t="s">
        <v>29</v>
      </c>
      <c r="C9" s="66" t="s">
        <v>30</v>
      </c>
      <c r="D9" s="68" t="s">
        <v>31</v>
      </c>
      <c r="E9" s="69"/>
      <c r="F9" s="69"/>
      <c r="G9" s="70"/>
      <c r="H9" s="71" t="s">
        <v>32</v>
      </c>
      <c r="I9" s="98" t="s">
        <v>33</v>
      </c>
      <c r="J9" s="98" t="s">
        <v>34</v>
      </c>
      <c r="K9" s="98" t="s">
        <v>35</v>
      </c>
      <c r="L9" s="99"/>
    </row>
    <row r="10" s="31" customFormat="1" ht="12" customHeight="1" spans="1:12">
      <c r="A10" s="72"/>
      <c r="B10" s="73"/>
      <c r="C10" s="72"/>
      <c r="D10" s="74"/>
      <c r="E10" s="75"/>
      <c r="F10" s="75"/>
      <c r="G10" s="76"/>
      <c r="H10" s="66"/>
      <c r="I10" s="66"/>
      <c r="J10" s="66"/>
      <c r="K10" s="66"/>
      <c r="L10" s="94"/>
    </row>
    <row r="11" s="34" customFormat="1" ht="15" spans="1:11">
      <c r="A11" s="77"/>
      <c r="B11" s="77"/>
      <c r="C11" s="77"/>
      <c r="D11" s="77"/>
      <c r="E11" s="77"/>
      <c r="F11" s="77"/>
      <c r="G11" s="77"/>
      <c r="H11" s="77"/>
      <c r="I11" s="77"/>
      <c r="J11" s="77"/>
      <c r="K11" s="100"/>
    </row>
    <row r="12" s="35" customFormat="1" spans="1:11">
      <c r="A12" s="78"/>
      <c r="B12" s="79"/>
      <c r="C12" s="79"/>
      <c r="D12" s="79"/>
      <c r="E12" s="79"/>
      <c r="F12" s="79"/>
      <c r="G12" s="79"/>
      <c r="H12" s="79"/>
      <c r="I12" s="79"/>
      <c r="J12" s="79"/>
      <c r="K12" s="101"/>
    </row>
    <row r="13" s="35" customFormat="1" outlineLevel="1" spans="1:11">
      <c r="A13" s="80"/>
      <c r="B13" s="81"/>
      <c r="C13" s="82"/>
      <c r="D13" s="83"/>
      <c r="E13" s="84"/>
      <c r="F13" s="84"/>
      <c r="G13" s="85"/>
      <c r="H13" s="84"/>
      <c r="I13" s="102"/>
      <c r="J13" s="82"/>
      <c r="K13" s="82"/>
    </row>
    <row r="14" s="35" customFormat="1" outlineLevel="1" spans="1:11">
      <c r="A14" s="86"/>
      <c r="B14" s="87"/>
      <c r="C14" s="87"/>
      <c r="D14" s="79"/>
      <c r="E14" s="79"/>
      <c r="F14" s="79"/>
      <c r="G14" s="79"/>
      <c r="H14" s="79"/>
      <c r="I14" s="79"/>
      <c r="J14" s="79"/>
      <c r="K14" s="101"/>
    </row>
    <row r="15" s="35" customFormat="1" ht="63.75" customHeight="1" outlineLevel="1" spans="1:11">
      <c r="A15" s="80"/>
      <c r="B15" s="88"/>
      <c r="C15" s="89"/>
      <c r="D15" s="90"/>
      <c r="E15" s="84"/>
      <c r="F15" s="84"/>
      <c r="G15" s="85"/>
      <c r="H15" s="84"/>
      <c r="I15" s="83"/>
      <c r="J15" s="82"/>
      <c r="K15" s="82"/>
    </row>
    <row r="16" s="35" customFormat="1" outlineLevel="1" spans="1:11">
      <c r="A16" s="86"/>
      <c r="B16" s="87"/>
      <c r="C16" s="87"/>
      <c r="D16" s="79"/>
      <c r="E16" s="79"/>
      <c r="F16" s="79"/>
      <c r="G16" s="79"/>
      <c r="H16" s="79"/>
      <c r="I16" s="79"/>
      <c r="J16" s="79"/>
      <c r="K16" s="101"/>
    </row>
    <row r="17" s="35" customFormat="1" ht="63.75" customHeight="1" outlineLevel="1" spans="1:11">
      <c r="A17" s="80"/>
      <c r="B17" s="91"/>
      <c r="C17" s="82"/>
      <c r="D17" s="90"/>
      <c r="E17" s="92"/>
      <c r="F17" s="92"/>
      <c r="G17" s="85"/>
      <c r="H17" s="84"/>
      <c r="I17" s="83"/>
      <c r="J17" s="82"/>
      <c r="K17" s="82"/>
    </row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A14:C14"/>
    <mergeCell ref="D15:F15"/>
    <mergeCell ref="A16:C16"/>
    <mergeCell ref="D17:F17"/>
    <mergeCell ref="A9:A10"/>
    <mergeCell ref="B9:B10"/>
    <mergeCell ref="C9:C10"/>
    <mergeCell ref="H9:H10"/>
    <mergeCell ref="I9:I10"/>
    <mergeCell ref="J9:J10"/>
    <mergeCell ref="K9:K10"/>
    <mergeCell ref="B1:D2"/>
    <mergeCell ref="D9:G10"/>
  </mergeCells>
  <pageMargins left="0.75" right="0.75" top="1" bottom="1" header="0.5" footer="0.5"/>
  <pageSetup paperSize="1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55"/>
  <sheetViews>
    <sheetView workbookViewId="0">
      <selection activeCell="C25" sqref="C25"/>
    </sheetView>
  </sheetViews>
  <sheetFormatPr defaultColWidth="8.83333333333333" defaultRowHeight="13.2"/>
  <cols>
    <col min="1" max="1" width="15.6666666666667" customWidth="1"/>
    <col min="2" max="2" width="18.1666666666667" customWidth="1"/>
    <col min="3" max="3" width="42.1666666666667" customWidth="1"/>
    <col min="6" max="6" width="23.6666666666667" customWidth="1"/>
    <col min="7" max="7" width="18.5" hidden="1" customWidth="1"/>
    <col min="8" max="8" width="38" customWidth="1"/>
    <col min="9" max="9" width="17.1666666666667" customWidth="1"/>
    <col min="10" max="10" width="9" style="36"/>
    <col min="11" max="11" width="18" style="37" customWidth="1"/>
  </cols>
  <sheetData>
    <row r="1" s="30" customFormat="1" ht="12.75" customHeight="1" spans="1:12">
      <c r="A1" s="38" t="s">
        <v>0</v>
      </c>
      <c r="B1" s="39"/>
      <c r="C1" s="39"/>
      <c r="D1" s="39"/>
      <c r="E1" s="40"/>
      <c r="F1" s="40"/>
      <c r="G1" s="40"/>
      <c r="H1" s="40"/>
      <c r="I1" s="40"/>
      <c r="J1" s="93"/>
      <c r="K1" s="40"/>
      <c r="L1" s="41"/>
    </row>
    <row r="2" s="30" customFormat="1" ht="11.25" customHeight="1" spans="1:12">
      <c r="A2" s="41"/>
      <c r="B2" s="42"/>
      <c r="C2" s="42"/>
      <c r="D2" s="42"/>
      <c r="E2" s="40"/>
      <c r="F2" s="40"/>
      <c r="G2" s="40"/>
      <c r="H2" s="40"/>
      <c r="I2" s="40"/>
      <c r="J2" s="93"/>
      <c r="K2" s="40"/>
      <c r="L2" s="41"/>
    </row>
    <row r="3" s="31" customFormat="1" ht="15" customHeight="1" spans="1:12">
      <c r="A3" s="43" t="s">
        <v>19</v>
      </c>
      <c r="B3" s="44" t="s">
        <v>37</v>
      </c>
      <c r="C3" s="44"/>
      <c r="D3" s="45"/>
      <c r="E3" s="46"/>
      <c r="F3" s="46"/>
      <c r="G3" s="46"/>
      <c r="H3" s="46"/>
      <c r="I3" s="59"/>
      <c r="J3" s="59"/>
      <c r="K3" s="59"/>
      <c r="L3" s="94"/>
    </row>
    <row r="4" s="31" customFormat="1" spans="1:12">
      <c r="A4" s="47" t="s">
        <v>20</v>
      </c>
      <c r="B4" s="48" t="s">
        <v>21</v>
      </c>
      <c r="C4" s="49"/>
      <c r="D4" s="50"/>
      <c r="E4" s="46"/>
      <c r="F4" s="46"/>
      <c r="G4" s="46"/>
      <c r="H4" s="46"/>
      <c r="I4" s="59"/>
      <c r="J4" s="59"/>
      <c r="K4" s="59"/>
      <c r="L4" s="94"/>
    </row>
    <row r="5" s="32" customFormat="1" ht="26.4" spans="1:12">
      <c r="A5" s="47" t="s">
        <v>22</v>
      </c>
      <c r="B5" s="51" t="s">
        <v>23</v>
      </c>
      <c r="C5" s="52"/>
      <c r="D5" s="53"/>
      <c r="E5" s="54"/>
      <c r="F5" s="54"/>
      <c r="G5" s="54"/>
      <c r="H5" s="54"/>
      <c r="I5" s="95"/>
      <c r="J5" s="95"/>
      <c r="K5" s="95"/>
      <c r="L5" s="96"/>
    </row>
    <row r="6" s="31" customFormat="1" ht="15" customHeight="1" spans="1:12">
      <c r="A6" s="55" t="s">
        <v>24</v>
      </c>
      <c r="B6" s="56">
        <f>COUNTIF(J12:J17,"Pass")</f>
        <v>0</v>
      </c>
      <c r="C6" s="57" t="s">
        <v>25</v>
      </c>
      <c r="D6" s="58">
        <f>COUNTIF(J10:J736,"Pending")</f>
        <v>0</v>
      </c>
      <c r="E6" s="59"/>
      <c r="F6" s="59"/>
      <c r="G6" s="59"/>
      <c r="H6" s="59"/>
      <c r="I6" s="59"/>
      <c r="J6" s="59"/>
      <c r="K6" s="59"/>
      <c r="L6" s="94"/>
    </row>
    <row r="7" s="31" customFormat="1" ht="15" customHeight="1" spans="1:12">
      <c r="A7" s="60" t="s">
        <v>26</v>
      </c>
      <c r="B7" s="61">
        <f>COUNTIF(J12:J17,"Fail")</f>
        <v>0</v>
      </c>
      <c r="C7" s="62" t="s">
        <v>27</v>
      </c>
      <c r="D7" s="63">
        <f>COUNTA(A12:A17)-15</f>
        <v>-15</v>
      </c>
      <c r="E7" s="64"/>
      <c r="F7" s="64"/>
      <c r="G7" s="64"/>
      <c r="H7" s="64"/>
      <c r="I7" s="59"/>
      <c r="J7" s="59"/>
      <c r="K7" s="59"/>
      <c r="L7" s="94"/>
    </row>
    <row r="8" s="31" customFormat="1" ht="15" customHeight="1" spans="1:12">
      <c r="A8" s="65"/>
      <c r="B8" s="65"/>
      <c r="C8" s="65"/>
      <c r="D8" s="65"/>
      <c r="E8" s="59"/>
      <c r="F8" s="59"/>
      <c r="G8" s="59"/>
      <c r="H8" s="59"/>
      <c r="I8" s="59"/>
      <c r="J8" s="97"/>
      <c r="K8" s="97"/>
      <c r="L8" s="94"/>
    </row>
    <row r="9" s="33" customFormat="1" ht="12" customHeight="1" spans="1:12">
      <c r="A9" s="66" t="s">
        <v>28</v>
      </c>
      <c r="B9" s="67" t="s">
        <v>29</v>
      </c>
      <c r="C9" s="66" t="s">
        <v>30</v>
      </c>
      <c r="D9" s="68" t="s">
        <v>31</v>
      </c>
      <c r="E9" s="69"/>
      <c r="F9" s="69"/>
      <c r="G9" s="70"/>
      <c r="H9" s="71" t="s">
        <v>32</v>
      </c>
      <c r="I9" s="98" t="s">
        <v>33</v>
      </c>
      <c r="J9" s="98" t="s">
        <v>34</v>
      </c>
      <c r="K9" s="98" t="s">
        <v>35</v>
      </c>
      <c r="L9" s="99"/>
    </row>
    <row r="10" s="31" customFormat="1" ht="12" customHeight="1" spans="1:12">
      <c r="A10" s="72"/>
      <c r="B10" s="73"/>
      <c r="C10" s="72"/>
      <c r="D10" s="74"/>
      <c r="E10" s="75"/>
      <c r="F10" s="75"/>
      <c r="G10" s="76"/>
      <c r="H10" s="66"/>
      <c r="I10" s="66"/>
      <c r="J10" s="66"/>
      <c r="K10" s="66"/>
      <c r="L10" s="94"/>
    </row>
    <row r="11" s="34" customFormat="1" ht="15" spans="1:11">
      <c r="A11" s="77"/>
      <c r="B11" s="77"/>
      <c r="C11" s="77"/>
      <c r="D11" s="77"/>
      <c r="E11" s="77"/>
      <c r="F11" s="77"/>
      <c r="G11" s="77"/>
      <c r="H11" s="77"/>
      <c r="I11" s="77"/>
      <c r="J11" s="77"/>
      <c r="K11" s="100"/>
    </row>
    <row r="12" s="35" customFormat="1" spans="1:11">
      <c r="A12" s="78"/>
      <c r="B12" s="79"/>
      <c r="C12" s="79"/>
      <c r="D12" s="79"/>
      <c r="E12" s="79"/>
      <c r="F12" s="79"/>
      <c r="G12" s="79"/>
      <c r="H12" s="79"/>
      <c r="I12" s="79"/>
      <c r="J12" s="79"/>
      <c r="K12" s="101"/>
    </row>
    <row r="13" s="35" customFormat="1" outlineLevel="1" spans="1:11">
      <c r="A13" s="80"/>
      <c r="B13" s="81"/>
      <c r="C13" s="82"/>
      <c r="D13" s="83"/>
      <c r="E13" s="84"/>
      <c r="F13" s="84"/>
      <c r="G13" s="85"/>
      <c r="H13" s="84"/>
      <c r="I13" s="102"/>
      <c r="J13" s="82"/>
      <c r="K13" s="82"/>
    </row>
    <row r="14" s="35" customFormat="1" outlineLevel="1" spans="1:11">
      <c r="A14" s="86"/>
      <c r="B14" s="87"/>
      <c r="C14" s="87"/>
      <c r="D14" s="79"/>
      <c r="E14" s="79"/>
      <c r="F14" s="79"/>
      <c r="G14" s="79"/>
      <c r="H14" s="79"/>
      <c r="I14" s="79"/>
      <c r="J14" s="79"/>
      <c r="K14" s="101"/>
    </row>
    <row r="15" s="35" customFormat="1" ht="63.75" customHeight="1" outlineLevel="1" spans="1:11">
      <c r="A15" s="80"/>
      <c r="B15" s="88"/>
      <c r="C15" s="89"/>
      <c r="D15" s="90"/>
      <c r="E15" s="84"/>
      <c r="F15" s="84"/>
      <c r="G15" s="85"/>
      <c r="H15" s="84"/>
      <c r="I15" s="83"/>
      <c r="J15" s="82"/>
      <c r="K15" s="82"/>
    </row>
    <row r="16" s="35" customFormat="1" outlineLevel="1" spans="1:11">
      <c r="A16" s="86"/>
      <c r="B16" s="87"/>
      <c r="C16" s="87"/>
      <c r="D16" s="79"/>
      <c r="E16" s="79"/>
      <c r="F16" s="79"/>
      <c r="G16" s="79"/>
      <c r="H16" s="79"/>
      <c r="I16" s="79"/>
      <c r="J16" s="79"/>
      <c r="K16" s="101"/>
    </row>
    <row r="17" s="35" customFormat="1" ht="63.75" customHeight="1" outlineLevel="1" spans="1:11">
      <c r="A17" s="80"/>
      <c r="B17" s="91"/>
      <c r="C17" s="82"/>
      <c r="D17" s="90"/>
      <c r="E17" s="92"/>
      <c r="F17" s="92"/>
      <c r="G17" s="85"/>
      <c r="H17" s="84"/>
      <c r="I17" s="83"/>
      <c r="J17" s="82"/>
      <c r="K17" s="82"/>
    </row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A14:C14"/>
    <mergeCell ref="D15:F15"/>
    <mergeCell ref="A16:C16"/>
    <mergeCell ref="D17:F17"/>
    <mergeCell ref="A9:A10"/>
    <mergeCell ref="B9:B10"/>
    <mergeCell ref="C9:C10"/>
    <mergeCell ref="H9:H10"/>
    <mergeCell ref="I9:I10"/>
    <mergeCell ref="J9:J10"/>
    <mergeCell ref="K9:K10"/>
    <mergeCell ref="B1:D2"/>
    <mergeCell ref="D9:G10"/>
  </mergeCells>
  <pageMargins left="0.75" right="0.75" top="1" bottom="1" header="0.5" footer="0.5"/>
  <pageSetup paperSize="1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55"/>
  <sheetViews>
    <sheetView workbookViewId="0">
      <selection activeCell="C25" sqref="C25"/>
    </sheetView>
  </sheetViews>
  <sheetFormatPr defaultColWidth="8.83333333333333" defaultRowHeight="13.2"/>
  <cols>
    <col min="1" max="1" width="15.6666666666667" customWidth="1"/>
    <col min="2" max="2" width="18.1666666666667" customWidth="1"/>
    <col min="3" max="3" width="42.1666666666667" customWidth="1"/>
    <col min="6" max="6" width="23.6666666666667" customWidth="1"/>
    <col min="7" max="7" width="18.5" hidden="1" customWidth="1"/>
    <col min="8" max="8" width="38" customWidth="1"/>
    <col min="9" max="9" width="17.1666666666667" customWidth="1"/>
    <col min="10" max="10" width="9" style="36"/>
    <col min="11" max="11" width="18" style="37" customWidth="1"/>
  </cols>
  <sheetData>
    <row r="1" s="30" customFormat="1" ht="12.75" customHeight="1" spans="1:12">
      <c r="A1" s="38" t="s">
        <v>0</v>
      </c>
      <c r="B1" s="39"/>
      <c r="C1" s="39"/>
      <c r="D1" s="39"/>
      <c r="E1" s="40"/>
      <c r="F1" s="40"/>
      <c r="G1" s="40"/>
      <c r="H1" s="40"/>
      <c r="I1" s="40"/>
      <c r="J1" s="93"/>
      <c r="K1" s="40"/>
      <c r="L1" s="41"/>
    </row>
    <row r="2" s="30" customFormat="1" ht="11.25" customHeight="1" spans="1:12">
      <c r="A2" s="41"/>
      <c r="B2" s="42"/>
      <c r="C2" s="42"/>
      <c r="D2" s="42"/>
      <c r="E2" s="40"/>
      <c r="F2" s="40"/>
      <c r="G2" s="40"/>
      <c r="H2" s="40"/>
      <c r="I2" s="40"/>
      <c r="J2" s="93"/>
      <c r="K2" s="40"/>
      <c r="L2" s="41"/>
    </row>
    <row r="3" s="31" customFormat="1" ht="15" customHeight="1" spans="1:12">
      <c r="A3" s="43" t="s">
        <v>19</v>
      </c>
      <c r="B3" s="44" t="s">
        <v>37</v>
      </c>
      <c r="C3" s="44"/>
      <c r="D3" s="45"/>
      <c r="E3" s="46"/>
      <c r="F3" s="46"/>
      <c r="G3" s="46"/>
      <c r="H3" s="46"/>
      <c r="I3" s="59"/>
      <c r="J3" s="59"/>
      <c r="K3" s="59"/>
      <c r="L3" s="94"/>
    </row>
    <row r="4" s="31" customFormat="1" spans="1:12">
      <c r="A4" s="47" t="s">
        <v>20</v>
      </c>
      <c r="B4" s="48" t="s">
        <v>21</v>
      </c>
      <c r="C4" s="49"/>
      <c r="D4" s="50"/>
      <c r="E4" s="46"/>
      <c r="F4" s="46"/>
      <c r="G4" s="46"/>
      <c r="H4" s="46"/>
      <c r="I4" s="59"/>
      <c r="J4" s="59"/>
      <c r="K4" s="59"/>
      <c r="L4" s="94"/>
    </row>
    <row r="5" s="32" customFormat="1" ht="26.4" spans="1:12">
      <c r="A5" s="47" t="s">
        <v>22</v>
      </c>
      <c r="B5" s="51" t="s">
        <v>23</v>
      </c>
      <c r="C5" s="52"/>
      <c r="D5" s="53"/>
      <c r="E5" s="54"/>
      <c r="F5" s="54"/>
      <c r="G5" s="54"/>
      <c r="H5" s="54"/>
      <c r="I5" s="95"/>
      <c r="J5" s="95"/>
      <c r="K5" s="95"/>
      <c r="L5" s="96"/>
    </row>
    <row r="6" s="31" customFormat="1" ht="15" customHeight="1" spans="1:12">
      <c r="A6" s="55" t="s">
        <v>24</v>
      </c>
      <c r="B6" s="56">
        <f>COUNTIF(J12:J17,"Pass")</f>
        <v>0</v>
      </c>
      <c r="C6" s="57" t="s">
        <v>25</v>
      </c>
      <c r="D6" s="58">
        <f>COUNTIF(J10:J736,"Pending")</f>
        <v>0</v>
      </c>
      <c r="E6" s="59"/>
      <c r="F6" s="59"/>
      <c r="G6" s="59"/>
      <c r="H6" s="59"/>
      <c r="I6" s="59"/>
      <c r="J6" s="59"/>
      <c r="K6" s="59"/>
      <c r="L6" s="94"/>
    </row>
    <row r="7" s="31" customFormat="1" ht="15" customHeight="1" spans="1:12">
      <c r="A7" s="60" t="s">
        <v>26</v>
      </c>
      <c r="B7" s="61">
        <f>COUNTIF(J12:J17,"Fail")</f>
        <v>0</v>
      </c>
      <c r="C7" s="62" t="s">
        <v>27</v>
      </c>
      <c r="D7" s="63">
        <f>COUNTA(A12:A17)-15</f>
        <v>-15</v>
      </c>
      <c r="E7" s="64"/>
      <c r="F7" s="64"/>
      <c r="G7" s="64"/>
      <c r="H7" s="64"/>
      <c r="I7" s="59"/>
      <c r="J7" s="59"/>
      <c r="K7" s="59"/>
      <c r="L7" s="94"/>
    </row>
    <row r="8" s="31" customFormat="1" ht="15" customHeight="1" spans="1:12">
      <c r="A8" s="65"/>
      <c r="B8" s="65"/>
      <c r="C8" s="65"/>
      <c r="D8" s="65"/>
      <c r="E8" s="59"/>
      <c r="F8" s="59"/>
      <c r="G8" s="59"/>
      <c r="H8" s="59"/>
      <c r="I8" s="59"/>
      <c r="J8" s="97"/>
      <c r="K8" s="97"/>
      <c r="L8" s="94"/>
    </row>
    <row r="9" s="33" customFormat="1" ht="12" customHeight="1" spans="1:12">
      <c r="A9" s="66" t="s">
        <v>28</v>
      </c>
      <c r="B9" s="67" t="s">
        <v>29</v>
      </c>
      <c r="C9" s="66" t="s">
        <v>30</v>
      </c>
      <c r="D9" s="68" t="s">
        <v>31</v>
      </c>
      <c r="E9" s="69"/>
      <c r="F9" s="69"/>
      <c r="G9" s="70"/>
      <c r="H9" s="71" t="s">
        <v>32</v>
      </c>
      <c r="I9" s="98" t="s">
        <v>33</v>
      </c>
      <c r="J9" s="98" t="s">
        <v>34</v>
      </c>
      <c r="K9" s="98" t="s">
        <v>35</v>
      </c>
      <c r="L9" s="99"/>
    </row>
    <row r="10" s="31" customFormat="1" ht="12" customHeight="1" spans="1:12">
      <c r="A10" s="72"/>
      <c r="B10" s="73"/>
      <c r="C10" s="72"/>
      <c r="D10" s="74"/>
      <c r="E10" s="75"/>
      <c r="F10" s="75"/>
      <c r="G10" s="76"/>
      <c r="H10" s="66"/>
      <c r="I10" s="66"/>
      <c r="J10" s="66"/>
      <c r="K10" s="66"/>
      <c r="L10" s="94"/>
    </row>
    <row r="11" s="34" customFormat="1" ht="15" spans="1:11">
      <c r="A11" s="77"/>
      <c r="B11" s="77"/>
      <c r="C11" s="77"/>
      <c r="D11" s="77"/>
      <c r="E11" s="77"/>
      <c r="F11" s="77"/>
      <c r="G11" s="77"/>
      <c r="H11" s="77"/>
      <c r="I11" s="77"/>
      <c r="J11" s="77"/>
      <c r="K11" s="100"/>
    </row>
    <row r="12" s="35" customFormat="1" spans="1:11">
      <c r="A12" s="78"/>
      <c r="B12" s="79"/>
      <c r="C12" s="79"/>
      <c r="D12" s="79"/>
      <c r="E12" s="79"/>
      <c r="F12" s="79"/>
      <c r="G12" s="79"/>
      <c r="H12" s="79"/>
      <c r="I12" s="79"/>
      <c r="J12" s="79"/>
      <c r="K12" s="101"/>
    </row>
    <row r="13" s="35" customFormat="1" outlineLevel="1" spans="1:11">
      <c r="A13" s="80"/>
      <c r="B13" s="81"/>
      <c r="C13" s="82"/>
      <c r="D13" s="83"/>
      <c r="E13" s="84"/>
      <c r="F13" s="84"/>
      <c r="G13" s="85"/>
      <c r="H13" s="84"/>
      <c r="I13" s="102"/>
      <c r="J13" s="82"/>
      <c r="K13" s="82"/>
    </row>
    <row r="14" s="35" customFormat="1" outlineLevel="1" spans="1:11">
      <c r="A14" s="86"/>
      <c r="B14" s="87"/>
      <c r="C14" s="87"/>
      <c r="D14" s="79"/>
      <c r="E14" s="79"/>
      <c r="F14" s="79"/>
      <c r="G14" s="79"/>
      <c r="H14" s="79"/>
      <c r="I14" s="79"/>
      <c r="J14" s="79"/>
      <c r="K14" s="101"/>
    </row>
    <row r="15" s="35" customFormat="1" ht="63.75" customHeight="1" outlineLevel="1" spans="1:11">
      <c r="A15" s="80"/>
      <c r="B15" s="88"/>
      <c r="C15" s="89"/>
      <c r="D15" s="90"/>
      <c r="E15" s="84"/>
      <c r="F15" s="84"/>
      <c r="G15" s="85"/>
      <c r="H15" s="84"/>
      <c r="I15" s="83"/>
      <c r="J15" s="82"/>
      <c r="K15" s="82"/>
    </row>
    <row r="16" s="35" customFormat="1" outlineLevel="1" spans="1:11">
      <c r="A16" s="86"/>
      <c r="B16" s="87"/>
      <c r="C16" s="87"/>
      <c r="D16" s="79"/>
      <c r="E16" s="79"/>
      <c r="F16" s="79"/>
      <c r="G16" s="79"/>
      <c r="H16" s="79"/>
      <c r="I16" s="79"/>
      <c r="J16" s="79"/>
      <c r="K16" s="101"/>
    </row>
    <row r="17" s="35" customFormat="1" ht="63.75" customHeight="1" outlineLevel="1" spans="1:11">
      <c r="A17" s="80"/>
      <c r="B17" s="91"/>
      <c r="C17" s="82"/>
      <c r="D17" s="90"/>
      <c r="E17" s="92"/>
      <c r="F17" s="92"/>
      <c r="G17" s="85"/>
      <c r="H17" s="84"/>
      <c r="I17" s="83"/>
      <c r="J17" s="82"/>
      <c r="K17" s="82"/>
    </row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A14:C14"/>
    <mergeCell ref="D15:F15"/>
    <mergeCell ref="A16:C16"/>
    <mergeCell ref="D17:F17"/>
    <mergeCell ref="A9:A10"/>
    <mergeCell ref="B9:B10"/>
    <mergeCell ref="C9:C10"/>
    <mergeCell ref="H9:H10"/>
    <mergeCell ref="I9:I10"/>
    <mergeCell ref="J9:J10"/>
    <mergeCell ref="K9:K10"/>
    <mergeCell ref="B1:D2"/>
    <mergeCell ref="D9:G10"/>
  </mergeCells>
  <pageMargins left="0.75" right="0.75" top="1" bottom="1" header="0.5" footer="0.5"/>
  <pageSetup paperSize="1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C4" sqref="C4"/>
    </sheetView>
  </sheetViews>
  <sheetFormatPr defaultColWidth="8.83333333333333" defaultRowHeight="13.2" outlineLevelCol="6"/>
  <cols>
    <col min="3" max="3" width="22.8333333333333" customWidth="1"/>
    <col min="7" max="7" width="18.8333333333333" customWidth="1"/>
  </cols>
  <sheetData>
    <row r="1" ht="22.2" spans="1:7">
      <c r="A1" s="2" t="s">
        <v>38</v>
      </c>
      <c r="B1" s="3"/>
      <c r="C1" s="4"/>
      <c r="D1" s="4"/>
      <c r="E1" s="4"/>
      <c r="F1" s="4"/>
      <c r="G1" s="5"/>
    </row>
    <row r="2" ht="14.25" customHeight="1" spans="1:7">
      <c r="A2" s="2"/>
      <c r="B2" s="3"/>
      <c r="C2" s="4"/>
      <c r="D2" s="4"/>
      <c r="E2" s="4"/>
      <c r="F2" s="4"/>
      <c r="G2" s="5"/>
    </row>
    <row r="3" spans="2:7">
      <c r="B3" s="6" t="s">
        <v>39</v>
      </c>
      <c r="C3" s="4"/>
      <c r="D3" s="4"/>
      <c r="E3" s="4"/>
      <c r="F3" s="4"/>
      <c r="G3" s="5"/>
    </row>
    <row r="4" spans="2:7">
      <c r="B4" s="6" t="s">
        <v>40</v>
      </c>
      <c r="C4" s="7"/>
      <c r="D4" s="6"/>
      <c r="E4" s="6"/>
      <c r="F4" s="6"/>
      <c r="G4" s="6"/>
    </row>
    <row r="5" spans="1:7">
      <c r="A5" s="6"/>
      <c r="B5" s="6"/>
      <c r="C5" s="6"/>
      <c r="D5" s="6"/>
      <c r="E5" s="6"/>
      <c r="F5" s="6"/>
      <c r="G5" s="6"/>
    </row>
    <row r="6" spans="1:7">
      <c r="A6" s="6"/>
      <c r="B6" s="6"/>
      <c r="C6" s="6"/>
      <c r="D6" s="6"/>
      <c r="E6" s="6"/>
      <c r="F6" s="6"/>
      <c r="G6" s="6"/>
    </row>
    <row r="7" ht="26.4" spans="1:7">
      <c r="A7" s="6"/>
      <c r="B7" s="8" t="s">
        <v>41</v>
      </c>
      <c r="C7" s="9" t="s">
        <v>42</v>
      </c>
      <c r="D7" s="10" t="s">
        <v>24</v>
      </c>
      <c r="E7" s="9" t="s">
        <v>26</v>
      </c>
      <c r="F7" s="9" t="s">
        <v>25</v>
      </c>
      <c r="G7" s="11" t="s">
        <v>43</v>
      </c>
    </row>
    <row r="8" s="1" customFormat="1" spans="1:7">
      <c r="A8" s="12"/>
      <c r="B8" s="13">
        <v>1</v>
      </c>
      <c r="C8" s="14" t="str">
        <f>Login!B4</f>
        <v>CR100 - Export to excel</v>
      </c>
      <c r="D8" s="15">
        <f>Login!B6</f>
        <v>0</v>
      </c>
      <c r="E8" s="14">
        <f>Login!B7</f>
        <v>0</v>
      </c>
      <c r="F8" s="14">
        <f>Login!D6</f>
        <v>0</v>
      </c>
      <c r="G8" s="15">
        <f>Login!D7</f>
        <v>-14</v>
      </c>
    </row>
    <row r="9" spans="1:7">
      <c r="A9" s="6"/>
      <c r="B9" s="16"/>
      <c r="C9" s="17"/>
      <c r="D9" s="18"/>
      <c r="E9" s="19"/>
      <c r="F9" s="19"/>
      <c r="G9" s="20"/>
    </row>
    <row r="10" spans="1:7">
      <c r="A10" s="6"/>
      <c r="B10" s="21"/>
      <c r="C10" s="22" t="s">
        <v>44</v>
      </c>
      <c r="D10" s="23">
        <f>SUM(D6:D9)</f>
        <v>0</v>
      </c>
      <c r="E10" s="23">
        <f>SUM(E6:E9)</f>
        <v>0</v>
      </c>
      <c r="F10" s="23">
        <f>SUM(F6:F9)</f>
        <v>0</v>
      </c>
      <c r="G10" s="24">
        <f>SUM(G6:G9)</f>
        <v>-14</v>
      </c>
    </row>
    <row r="11" spans="1:7">
      <c r="A11" s="6"/>
      <c r="B11" s="25"/>
      <c r="C11" s="6"/>
      <c r="D11" s="26"/>
      <c r="E11" s="27"/>
      <c r="F11" s="27"/>
      <c r="G11" s="27"/>
    </row>
    <row r="12" spans="1:7">
      <c r="A12" s="6"/>
      <c r="B12" s="6"/>
      <c r="C12" s="6" t="s">
        <v>45</v>
      </c>
      <c r="D12" s="6"/>
      <c r="E12" s="28">
        <f>(D10+E10)*100/G10</f>
        <v>0</v>
      </c>
      <c r="F12" s="6" t="s">
        <v>46</v>
      </c>
      <c r="G12" s="29"/>
    </row>
    <row r="13" spans="1:7">
      <c r="A13" s="6"/>
      <c r="B13" s="6"/>
      <c r="C13" s="6" t="s">
        <v>47</v>
      </c>
      <c r="D13" s="6"/>
      <c r="E13" s="28">
        <f>D10*100/G10</f>
        <v>0</v>
      </c>
      <c r="F13" s="6" t="s">
        <v>46</v>
      </c>
      <c r="G13" s="29"/>
    </row>
  </sheetData>
  <pageMargins left="0.75" right="0.75" top="1" bottom="1" header="0.5" footer="0.5"/>
  <pageSetup paperSize="1"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Cover</vt:lpstr>
      <vt:lpstr>Login</vt:lpstr>
      <vt:lpstr>Booking</vt:lpstr>
      <vt:lpstr>Samples (3)</vt:lpstr>
      <vt:lpstr>Samples (2)</vt:lpstr>
      <vt:lpstr>Test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nguye</cp:lastModifiedBy>
  <dcterms:created xsi:type="dcterms:W3CDTF">2002-07-27T17:17:00Z</dcterms:created>
  <cp:lastPrinted>2006-08-02T10:15:00Z</cp:lastPrinted>
  <dcterms:modified xsi:type="dcterms:W3CDTF">2026-03-14T07:07:59Z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29E415EA08FC481E94D37D75FB6B144B_12</vt:lpwstr>
  </property>
  <property fmtid="{D5CDD505-2E9C-101B-9397-08002B2CF9AE}" pid="4" name="KSOProductBuildVer">
    <vt:lpwstr>1033-12.9.0.21549</vt:lpwstr>
  </property>
</Properties>
</file>