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Project\CineFlow\docs\"/>
    </mc:Choice>
  </mc:AlternateContent>
  <xr:revisionPtr revIDLastSave="0" documentId="13_ncr:1_{D11FA951-D7FB-4EA0-B3E3-F4DC249DA293}" xr6:coauthVersionLast="47" xr6:coauthVersionMax="47" xr10:uidLastSave="{00000000-0000-0000-0000-000000000000}"/>
  <bookViews>
    <workbookView xWindow="-108" yWindow="-108" windowWidth="23256" windowHeight="12456" tabRatio="821" activeTab="2" xr2:uid="{00000000-000D-0000-FFFF-FFFF00000000}"/>
  </bookViews>
  <sheets>
    <sheet name="Cover" sheetId="97" r:id="rId1"/>
    <sheet name="Models" sheetId="128" r:id="rId2"/>
    <sheet name="User" sheetId="122" r:id="rId3"/>
    <sheet name="Film" sheetId="127" r:id="rId4"/>
    <sheet name="Test Report" sheetId="107" r:id="rId5"/>
  </sheets>
  <externalReferences>
    <externalReference r:id="rId6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22" l="1"/>
  <c r="D7" i="122"/>
  <c r="G9" i="107" s="1"/>
  <c r="G10" i="107"/>
  <c r="F10" i="107"/>
  <c r="E10" i="107"/>
  <c r="G8" i="107"/>
  <c r="D10" i="107"/>
  <c r="C10" i="107"/>
  <c r="F8" i="107"/>
  <c r="E8" i="107"/>
  <c r="D8" i="107"/>
  <c r="C8" i="107"/>
  <c r="D7" i="128"/>
  <c r="B7" i="128"/>
  <c r="D6" i="128"/>
  <c r="B6" i="128"/>
  <c r="C9" i="107"/>
  <c r="D7" i="127"/>
  <c r="B7" i="127"/>
  <c r="D6" i="127"/>
  <c r="B6" i="127"/>
  <c r="F9" i="107"/>
  <c r="B7" i="122"/>
  <c r="E9" i="107" s="1"/>
  <c r="B6" i="122"/>
  <c r="D9" i="107" s="1"/>
  <c r="G19" i="107" l="1"/>
  <c r="F19" i="107"/>
  <c r="E19" i="107"/>
  <c r="D19" i="107"/>
  <c r="E22" i="107" l="1"/>
  <c r="E21" i="107"/>
</calcChain>
</file>

<file path=xl/sharedStrings.xml><?xml version="1.0" encoding="utf-8"?>
<sst xmlns="http://schemas.openxmlformats.org/spreadsheetml/2006/main" count="156" uniqueCount="97">
  <si>
    <t>TEST CASE</t>
  </si>
  <si>
    <t>Version:</t>
  </si>
  <si>
    <t>Issue date:</t>
  </si>
  <si>
    <t>Project Name:</t>
  </si>
  <si>
    <t>CineFlow</t>
  </si>
  <si>
    <t>Project Code: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</si>
  <si>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</si>
  <si>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</si>
  <si>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</si>
  <si>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</si>
  <si>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</si>
  <si>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</si>
  <si>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</si>
  <si>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</si>
  <si>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t>14/3/2026</t>
  </si>
  <si>
    <t>1.0</t>
  </si>
  <si>
    <t>Create struct directory</t>
  </si>
  <si>
    <t>Đinh Hưng</t>
  </si>
  <si>
    <r>
      <rPr>
        <b/>
        <sz val="10"/>
        <rFont val="Tahoma"/>
        <charset val="134"/>
      </rPr>
      <t>System Name</t>
    </r>
    <r>
      <rPr>
        <b/>
        <sz val="10"/>
        <rFont val="ＭＳ Ｐゴシック"/>
        <charset val="128"/>
      </rPr>
      <t>：</t>
    </r>
  </si>
  <si>
    <r>
      <rPr>
        <b/>
        <sz val="10"/>
        <rFont val="Tahoma"/>
        <charset val="134"/>
      </rPr>
      <t>Module Code</t>
    </r>
    <r>
      <rPr>
        <b/>
        <sz val="10"/>
        <rFont val="MS Gothic"/>
        <charset val="134"/>
      </rPr>
      <t>：</t>
    </r>
  </si>
  <si>
    <t>Test requirement:</t>
  </si>
  <si>
    <t>Pass</t>
  </si>
  <si>
    <t>Pending</t>
  </si>
  <si>
    <t>Fail</t>
  </si>
  <si>
    <t>Number of test cases:</t>
  </si>
  <si>
    <t>ID</t>
  </si>
  <si>
    <t>Test Case Description</t>
  </si>
  <si>
    <t>Test Case Procedure</t>
  </si>
  <si>
    <t>Expected Results</t>
  </si>
  <si>
    <t>Actual Results</t>
  </si>
  <si>
    <t>Test date</t>
  </si>
  <si>
    <t>Status</t>
  </si>
  <si>
    <t>Note</t>
  </si>
  <si>
    <t>1. Google Login</t>
  </si>
  <si>
    <t>TEST REPORT</t>
  </si>
  <si>
    <t>Note:</t>
  </si>
  <si>
    <t>Date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</si>
  <si>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</si>
  <si>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</si>
  <si>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</si>
  <si>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</si>
  <si>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</si>
  <si>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</si>
  <si>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</si>
  <si>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 xml:space="preserve"> </t>
  </si>
  <si>
    <t>TC01</t>
  </si>
  <si>
    <t>https://github.com/quekhoait/CineFlow.git</t>
  </si>
  <si>
    <t>TC02</t>
  </si>
  <si>
    <t>CFAPI_MD03_Film</t>
  </si>
  <si>
    <t>CF_MD01_Models</t>
  </si>
  <si>
    <t>CFAPI_MD02_User</t>
  </si>
  <si>
    <t>1. Register bằng Email + OTP</t>
  </si>
  <si>
    <t>Đăng ký thành công</t>
  </si>
  <si>
    <t>1. Nhập email -&gt; nhận OTP
2. Nhập đầy đủ thong tin và OTP hợp lệ</t>
  </si>
  <si>
    <t>Tại tài khoản thành công</t>
  </si>
  <si>
    <t>Thiếu OTP</t>
  </si>
  <si>
    <t>Không nhập OTP</t>
  </si>
  <si>
    <t>Báo lỗi "OTP is required"</t>
  </si>
  <si>
    <t>OTP hết hạn hoặc sai</t>
  </si>
  <si>
    <t>Nhập OTP cũ, OTP đã được gửi trước đó 5 phút hoặc OTP sai</t>
  </si>
  <si>
    <t>Báo lỗi "OTP has expired or does not exist"</t>
  </si>
  <si>
    <t>TC3</t>
  </si>
  <si>
    <t>TC4</t>
  </si>
  <si>
    <t>Email đã tồn tại</t>
  </si>
  <si>
    <t>Dùng email đã đăng ký</t>
  </si>
  <si>
    <t>Email sai định dạng</t>
  </si>
  <si>
    <t>email có dạng: abc</t>
  </si>
  <si>
    <t>Thiếu thuộc tính cần thiết</t>
  </si>
  <si>
    <t>Không nhập password hoặc username</t>
  </si>
  <si>
    <t>2. Login bằng Email</t>
  </si>
  <si>
    <t>TC03</t>
  </si>
  <si>
    <t>TC04</t>
  </si>
  <si>
    <t>TC05</t>
  </si>
  <si>
    <t>TC06</t>
  </si>
  <si>
    <t>Login thành công</t>
  </si>
  <si>
    <t>Nhập đúng email và password</t>
  </si>
  <si>
    <t>Email chưa đăng ký</t>
  </si>
  <si>
    <t>Nhập email không tồn tại</t>
  </si>
  <si>
    <t>Thiếu email</t>
  </si>
  <si>
    <t>Không nhập email</t>
  </si>
  <si>
    <t>TC07</t>
  </si>
  <si>
    <t>Password sai định dạng</t>
  </si>
  <si>
    <t>Nhập password có độ dài &lt; 6 hoặc &gt;32
Nhập password không có chữ hoa….</t>
  </si>
  <si>
    <t>Thiếu password</t>
  </si>
  <si>
    <t>Login thất bại</t>
  </si>
  <si>
    <t>Nhập sai thông tin email hoặc password</t>
  </si>
  <si>
    <t>3. Login bằng Google</t>
  </si>
  <si>
    <t>Login bằng Google email chưa tồn tại</t>
  </si>
  <si>
    <t>Login bằng Google (user cũ)</t>
  </si>
  <si>
    <t>Login bằng Google (user mới)</t>
  </si>
  <si>
    <t>Login bằng Google email đã tồn tại</t>
  </si>
  <si>
    <t>Tạo accout + đăng nhập</t>
  </si>
  <si>
    <t>Đăng nhập thành công</t>
  </si>
  <si>
    <t>Token google gửi sai</t>
  </si>
  <si>
    <t>Gửi token sai</t>
  </si>
  <si>
    <t>User thoát login</t>
  </si>
  <si>
    <t>Thoát bên 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</si>
</sst>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26">
    <font>
      <sz val="11"/>
      <name val="ＭＳ Ｐゴシック"/>
      <charset val="128"/>
    </font>
    <font>
      <b/>
      <sz val="18"/>
      <name val="Tahoma"/>
      <charset val="134"/>
    </font>
    <font>
      <b/>
      <sz val="10"/>
      <name val="Tahoma"/>
      <charset val="134"/>
    </font>
    <font>
      <sz val="10"/>
      <name val="Tahoma"/>
      <charset val="134"/>
    </font>
    <font>
      <b/>
      <sz val="10"/>
      <color indexed="9"/>
      <name val="Tahoma"/>
      <charset val="134"/>
    </font>
    <font>
      <sz val="10"/>
      <name val="ＭＳ Ｐゴシック"/>
      <charset val="128"/>
    </font>
    <font>
      <sz val="10"/>
      <color indexed="9"/>
      <name val="Tahoma"/>
      <charset val="134"/>
    </font>
    <font>
      <b/>
      <sz val="10"/>
      <color indexed="12"/>
      <name val="Tahoma"/>
      <charset val="134"/>
    </font>
    <font>
      <sz val="10"/>
      <color indexed="8"/>
      <name val="Tahoma"/>
      <charset val="134"/>
    </font>
    <font>
      <sz val="8"/>
      <color indexed="8"/>
      <name val="Tahoma"/>
      <charset val="134"/>
    </font>
    <font>
      <sz val="12"/>
      <color indexed="8"/>
      <name val="Tahoma"/>
      <charset val="134"/>
    </font>
    <font>
      <sz val="12"/>
      <name val="ＭＳ Ｐゴシック"/>
      <charset val="128"/>
    </font>
    <font>
      <b/>
      <sz val="12"/>
      <color indexed="9"/>
      <name val="Tahoma"/>
      <charset val="134"/>
    </font>
    <font>
      <b/>
      <sz val="10"/>
      <color indexed="8"/>
      <name val="Tahoma"/>
      <charset val="134"/>
    </font>
    <font>
      <sz val="10"/>
      <color indexed="10"/>
      <name val="Tahoma"/>
      <charset val="134"/>
    </font>
    <font>
      <sz val="11"/>
      <name val="Tahoma"/>
      <charset val="134"/>
    </font>
    <font>
      <b/>
      <sz val="10"/>
      <color indexed="60"/>
      <name val="Tahoma"/>
      <charset val="134"/>
    </font>
    <font>
      <u/>
      <sz val="11"/>
      <color rgb="FF0000FF"/>
      <name val="Calibri"/>
      <scheme val="minor"/>
    </font>
    <font>
      <sz val="9"/>
      <name val="ＭＳ ゴシック"/>
      <charset val="128"/>
    </font>
    <font>
      <b/>
      <sz val="10"/>
      <name val="ＭＳ Ｐゴシック"/>
      <charset val="128"/>
    </font>
    <font>
      <b/>
      <sz val="10"/>
      <name val="MS Gothic"/>
      <charset val="134"/>
    </font>
    <font>
      <sz val="11"/>
      <name val="ＭＳ Ｐゴシック"/>
      <charset val="128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1"/>
      <name val="Tahoma"/>
      <family val="2"/>
    </font>
    <font>
      <sz val="8"/>
      <color indexed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17" fillId="0" borderId="0" applyNumberFormat="0" applyFill="0" applyBorder="0" applyAlignment="0" applyProtection="0">
      <alignment vertical="center"/>
    </xf>
    <xf numFmtId="0" fontId="21" fillId="0" borderId="0"/>
    <xf numFmtId="0" fontId="21" fillId="0" borderId="0" applyProtection="0"/>
    <xf numFmtId="0" fontId="18" fillId="0" borderId="0"/>
  </cellStyleXfs>
  <cellXfs count="145">
    <xf numFmtId="0" fontId="0" fillId="0" borderId="0" xfId="0"/>
    <xf numFmtId="0" fontId="0" fillId="0" borderId="0" xfId="0" applyAlignment="1">
      <alignment wrapText="1"/>
    </xf>
    <xf numFmtId="0" fontId="1" fillId="0" borderId="0" xfId="2" applyFont="1"/>
    <xf numFmtId="0" fontId="2" fillId="0" borderId="0" xfId="2" applyFont="1"/>
    <xf numFmtId="0" fontId="3" fillId="0" borderId="0" xfId="2" applyFont="1"/>
    <xf numFmtId="164" fontId="3" fillId="0" borderId="0" xfId="2" applyNumberFormat="1" applyFont="1"/>
    <xf numFmtId="0" fontId="3" fillId="0" borderId="0" xfId="0" applyFont="1"/>
    <xf numFmtId="164" fontId="3" fillId="0" borderId="1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/>
    </xf>
    <xf numFmtId="0" fontId="4" fillId="2" borderId="8" xfId="0" applyFont="1" applyFill="1" applyBorder="1"/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center" wrapText="1"/>
    </xf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vertical="top"/>
    </xf>
    <xf numFmtId="0" fontId="2" fillId="3" borderId="0" xfId="3" applyFont="1" applyFill="1"/>
    <xf numFmtId="0" fontId="9" fillId="3" borderId="0" xfId="0" applyFont="1" applyFill="1" applyAlignment="1">
      <alignment wrapText="1"/>
    </xf>
    <xf numFmtId="0" fontId="9" fillId="3" borderId="0" xfId="0" applyFont="1" applyFill="1"/>
    <xf numFmtId="0" fontId="2" fillId="3" borderId="11" xfId="3" applyFont="1" applyFill="1" applyBorder="1" applyAlignment="1">
      <alignment horizontal="left" wrapText="1"/>
    </xf>
    <xf numFmtId="0" fontId="3" fillId="3" borderId="0" xfId="3" applyFont="1" applyFill="1" applyAlignment="1">
      <alignment horizontal="left" wrapText="1"/>
    </xf>
    <xf numFmtId="0" fontId="2" fillId="3" borderId="14" xfId="3" applyFont="1" applyFill="1" applyBorder="1" applyAlignment="1">
      <alignment horizontal="left" vertical="center" wrapText="1"/>
    </xf>
    <xf numFmtId="0" fontId="3" fillId="3" borderId="0" xfId="3" applyFont="1" applyFill="1" applyAlignment="1">
      <alignment horizontal="left" vertical="center" wrapText="1"/>
    </xf>
    <xf numFmtId="0" fontId="8" fillId="3" borderId="14" xfId="0" applyFont="1" applyFill="1" applyBorder="1" applyAlignment="1">
      <alignment horizontal="right"/>
    </xf>
    <xf numFmtId="0" fontId="8" fillId="3" borderId="18" xfId="0" applyFont="1" applyFill="1" applyBorder="1" applyAlignment="1">
      <alignment wrapText="1"/>
    </xf>
    <xf numFmtId="0" fontId="8" fillId="3" borderId="18" xfId="0" applyFont="1" applyFill="1" applyBorder="1" applyAlignment="1">
      <alignment horizontal="center" wrapText="1"/>
    </xf>
    <xf numFmtId="0" fontId="8" fillId="3" borderId="19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8" fillId="3" borderId="20" xfId="0" applyFont="1" applyFill="1" applyBorder="1" applyAlignment="1">
      <alignment horizontal="right"/>
    </xf>
    <xf numFmtId="0" fontId="8" fillId="3" borderId="21" xfId="0" applyFont="1" applyFill="1" applyBorder="1" applyAlignment="1">
      <alignment wrapText="1"/>
    </xf>
    <xf numFmtId="0" fontId="8" fillId="0" borderId="21" xfId="0" applyFont="1" applyBorder="1" applyAlignment="1">
      <alignment horizontal="center"/>
    </xf>
    <xf numFmtId="1" fontId="8" fillId="3" borderId="22" xfId="0" applyNumberFormat="1" applyFont="1" applyFill="1" applyBorder="1" applyAlignment="1">
      <alignment horizontal="center" wrapText="1"/>
    </xf>
    <xf numFmtId="1" fontId="8" fillId="3" borderId="0" xfId="0" applyNumberFormat="1" applyFont="1" applyFill="1" applyAlignment="1">
      <alignment horizontal="center" wrapText="1"/>
    </xf>
    <xf numFmtId="0" fontId="13" fillId="6" borderId="16" xfId="3" applyFont="1" applyFill="1" applyBorder="1" applyAlignment="1">
      <alignment horizontal="left" vertical="center" wrapText="1"/>
    </xf>
    <xf numFmtId="165" fontId="8" fillId="0" borderId="18" xfId="0" applyNumberFormat="1" applyFont="1" applyBorder="1" applyAlignment="1">
      <alignment horizontal="left" vertical="top" wrapText="1"/>
    </xf>
    <xf numFmtId="0" fontId="8" fillId="0" borderId="18" xfId="0" applyFont="1" applyBorder="1" applyAlignment="1">
      <alignment vertical="top" wrapText="1"/>
    </xf>
    <xf numFmtId="0" fontId="8" fillId="0" borderId="18" xfId="0" applyFont="1" applyBorder="1" applyAlignment="1">
      <alignment horizontal="left" vertical="top" wrapText="1"/>
    </xf>
    <xf numFmtId="0" fontId="8" fillId="3" borderId="0" xfId="0" applyFont="1" applyFill="1" applyAlignment="1">
      <alignment wrapText="1"/>
    </xf>
    <xf numFmtId="0" fontId="8" fillId="3" borderId="0" xfId="0" applyFont="1" applyFill="1"/>
    <xf numFmtId="0" fontId="8" fillId="3" borderId="0" xfId="0" applyFont="1" applyFill="1" applyAlignment="1">
      <alignment vertical="center" wrapText="1"/>
    </xf>
    <xf numFmtId="0" fontId="8" fillId="3" borderId="29" xfId="0" applyFont="1" applyFill="1" applyBorder="1" applyAlignment="1">
      <alignment horizontal="center" wrapText="1"/>
    </xf>
    <xf numFmtId="0" fontId="10" fillId="3" borderId="0" xfId="0" applyFont="1" applyFill="1"/>
    <xf numFmtId="0" fontId="13" fillId="6" borderId="31" xfId="3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0" applyFont="1"/>
    <xf numFmtId="0" fontId="15" fillId="3" borderId="0" xfId="0" applyFont="1" applyFill="1"/>
    <xf numFmtId="0" fontId="1" fillId="3" borderId="0" xfId="0" applyFont="1" applyFill="1"/>
    <xf numFmtId="0" fontId="16" fillId="3" borderId="0" xfId="0" applyFont="1" applyFill="1"/>
    <xf numFmtId="0" fontId="3" fillId="3" borderId="0" xfId="0" applyFont="1" applyFill="1"/>
    <xf numFmtId="15" fontId="3" fillId="0" borderId="0" xfId="0" applyNumberFormat="1" applyFont="1" applyAlignment="1">
      <alignment horizontal="left"/>
    </xf>
    <xf numFmtId="0" fontId="16" fillId="0" borderId="0" xfId="0" applyFont="1"/>
    <xf numFmtId="164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5" fontId="3" fillId="0" borderId="5" xfId="0" applyNumberFormat="1" applyFont="1" applyBorder="1" applyAlignment="1">
      <alignment horizontal="left" vertical="center"/>
    </xf>
    <xf numFmtId="15" fontId="3" fillId="0" borderId="5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15" fontId="3" fillId="0" borderId="5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3" borderId="0" xfId="0" quotePrefix="1" applyFont="1" applyFill="1" applyAlignment="1">
      <alignment horizontal="left"/>
    </xf>
    <xf numFmtId="0" fontId="14" fillId="0" borderId="1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8" fillId="7" borderId="18" xfId="0" applyFont="1" applyFill="1" applyBorder="1" applyAlignment="1">
      <alignment horizontal="left" vertical="center" wrapText="1"/>
    </xf>
    <xf numFmtId="0" fontId="22" fillId="0" borderId="0" xfId="0" applyFont="1" applyAlignment="1">
      <alignment vertical="top"/>
    </xf>
    <xf numFmtId="165" fontId="22" fillId="0" borderId="18" xfId="0" applyNumberFormat="1" applyFont="1" applyBorder="1" applyAlignment="1">
      <alignment horizontal="left" vertical="top" wrapText="1"/>
    </xf>
    <xf numFmtId="0" fontId="22" fillId="0" borderId="18" xfId="0" applyFont="1" applyBorder="1" applyAlignment="1">
      <alignment vertical="top" wrapText="1"/>
    </xf>
    <xf numFmtId="0" fontId="24" fillId="0" borderId="0" xfId="0" applyFont="1"/>
    <xf numFmtId="0" fontId="25" fillId="0" borderId="0" xfId="0" applyFont="1" applyAlignment="1">
      <alignment vertical="top"/>
    </xf>
    <xf numFmtId="0" fontId="22" fillId="0" borderId="18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31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0" fontId="9" fillId="3" borderId="0" xfId="0" applyFont="1" applyFill="1" applyAlignment="1">
      <alignment horizontal="center" wrapText="1"/>
    </xf>
    <xf numFmtId="0" fontId="9" fillId="3" borderId="10" xfId="0" applyFont="1" applyFill="1" applyBorder="1" applyAlignment="1">
      <alignment horizontal="center" wrapText="1"/>
    </xf>
    <xf numFmtId="0" fontId="4" fillId="4" borderId="25" xfId="3" applyFont="1" applyFill="1" applyBorder="1" applyAlignment="1">
      <alignment horizontal="center" vertical="center" wrapText="1"/>
    </xf>
    <xf numFmtId="0" fontId="4" fillId="4" borderId="0" xfId="3" applyFont="1" applyFill="1" applyAlignment="1">
      <alignment horizontal="center" vertical="center" wrapText="1"/>
    </xf>
    <xf numFmtId="0" fontId="4" fillId="4" borderId="26" xfId="3" applyFont="1" applyFill="1" applyBorder="1" applyAlignment="1">
      <alignment horizontal="center" vertical="center" wrapText="1"/>
    </xf>
    <xf numFmtId="0" fontId="4" fillId="4" borderId="28" xfId="3" applyFont="1" applyFill="1" applyBorder="1" applyAlignment="1">
      <alignment horizontal="center" vertical="center" wrapText="1"/>
    </xf>
    <xf numFmtId="0" fontId="4" fillId="4" borderId="29" xfId="3" applyFont="1" applyFill="1" applyBorder="1" applyAlignment="1">
      <alignment horizontal="center" vertical="center" wrapText="1"/>
    </xf>
    <xf numFmtId="0" fontId="4" fillId="4" borderId="30" xfId="3" applyFont="1" applyFill="1" applyBorder="1" applyAlignment="1">
      <alignment horizontal="center" vertical="center" wrapText="1"/>
    </xf>
    <xf numFmtId="0" fontId="3" fillId="3" borderId="12" xfId="3" applyFont="1" applyFill="1" applyBorder="1" applyAlignment="1">
      <alignment horizontal="left" wrapText="1"/>
    </xf>
    <xf numFmtId="0" fontId="3" fillId="3" borderId="13" xfId="3" applyFont="1" applyFill="1" applyBorder="1" applyAlignment="1">
      <alignment horizontal="left" wrapText="1"/>
    </xf>
    <xf numFmtId="0" fontId="13" fillId="6" borderId="15" xfId="3" applyFont="1" applyFill="1" applyBorder="1" applyAlignment="1">
      <alignment horizontal="left" vertical="center" wrapText="1"/>
    </xf>
    <xf numFmtId="0" fontId="13" fillId="6" borderId="16" xfId="3" applyFont="1" applyFill="1" applyBorder="1" applyAlignment="1">
      <alignment horizontal="left" vertical="center" wrapText="1"/>
    </xf>
    <xf numFmtId="0" fontId="23" fillId="6" borderId="15" xfId="3" applyFont="1" applyFill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 vertical="top" wrapText="1"/>
    </xf>
    <xf numFmtId="0" fontId="8" fillId="3" borderId="0" xfId="0" applyFont="1" applyFill="1" applyAlignment="1">
      <alignment horizontal="center" wrapText="1"/>
    </xf>
    <xf numFmtId="0" fontId="8" fillId="3" borderId="23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left" vertical="center"/>
    </xf>
    <xf numFmtId="0" fontId="12" fillId="5" borderId="31" xfId="0" applyFont="1" applyFill="1" applyBorder="1" applyAlignment="1">
      <alignment horizontal="left" vertical="center"/>
    </xf>
    <xf numFmtId="0" fontId="13" fillId="6" borderId="31" xfId="3" applyFont="1" applyFill="1" applyBorder="1" applyAlignment="1">
      <alignment horizontal="left" vertical="center" wrapText="1"/>
    </xf>
    <xf numFmtId="0" fontId="4" fillId="4" borderId="24" xfId="3" applyFont="1" applyFill="1" applyBorder="1" applyAlignment="1">
      <alignment horizontal="center" vertical="center" wrapText="1"/>
    </xf>
    <xf numFmtId="0" fontId="4" fillId="4" borderId="18" xfId="3" applyFont="1" applyFill="1" applyBorder="1" applyAlignment="1">
      <alignment horizontal="center" vertical="center" wrapText="1"/>
    </xf>
    <xf numFmtId="0" fontId="4" fillId="4" borderId="24" xfId="3" applyFont="1" applyFill="1" applyBorder="1" applyAlignment="1">
      <alignment vertical="center" wrapText="1"/>
    </xf>
    <xf numFmtId="0" fontId="4" fillId="4" borderId="18" xfId="3" applyFont="1" applyFill="1" applyBorder="1" applyAlignment="1">
      <alignment vertical="center" wrapText="1"/>
    </xf>
    <xf numFmtId="0" fontId="4" fillId="4" borderId="27" xfId="3" applyFont="1" applyFill="1" applyBorder="1" applyAlignment="1">
      <alignment horizontal="center" vertical="center" wrapText="1"/>
    </xf>
    <xf numFmtId="0" fontId="4" fillId="4" borderId="32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left" vertical="top" wrapText="1"/>
    </xf>
    <xf numFmtId="0" fontId="3" fillId="3" borderId="16" xfId="3" applyFont="1" applyFill="1" applyBorder="1" applyAlignment="1">
      <alignment horizontal="left" vertical="top" wrapText="1"/>
    </xf>
    <xf numFmtId="0" fontId="3" fillId="3" borderId="17" xfId="3" applyFont="1" applyFill="1" applyBorder="1" applyAlignment="1">
      <alignment horizontal="left" vertical="top" wrapText="1"/>
    </xf>
    <xf numFmtId="0" fontId="3" fillId="3" borderId="15" xfId="3" applyFont="1" applyFill="1" applyBorder="1" applyAlignment="1">
      <alignment horizontal="left" vertical="center" wrapText="1"/>
    </xf>
    <xf numFmtId="0" fontId="3" fillId="3" borderId="16" xfId="3" applyFont="1" applyFill="1" applyBorder="1" applyAlignment="1">
      <alignment horizontal="left" vertical="center" wrapText="1"/>
    </xf>
    <xf numFmtId="0" fontId="3" fillId="3" borderId="17" xfId="3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17" fillId="3" borderId="12" xfId="1" applyFill="1" applyBorder="1" applyAlignment="1">
      <alignment horizontal="left" wrapText="1"/>
    </xf>
    <xf numFmtId="0" fontId="8" fillId="0" borderId="18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center" vertical="top" wrapText="1"/>
    </xf>
    <xf numFmtId="0" fontId="13" fillId="6" borderId="15" xfId="3" applyFont="1" applyFill="1" applyBorder="1" applyAlignment="1">
      <alignment horizontal="center" vertical="center" wrapText="1"/>
    </xf>
    <xf numFmtId="0" fontId="13" fillId="6" borderId="16" xfId="3" applyFont="1" applyFill="1" applyBorder="1" applyAlignment="1">
      <alignment horizontal="center" vertical="center" wrapText="1"/>
    </xf>
  </cellXfs>
  <cellStyles count="5">
    <cellStyle name="Hyperlink" xfId="1" builtinId="8"/>
    <cellStyle name="Normal" xfId="0" builtinId="0"/>
    <cellStyle name="Normal_Functional Test Case v1.0" xfId="2" xr:uid="{00000000-0005-0000-0000-000031000000}"/>
    <cellStyle name="Normal_Sheet1_Vanco_CR022a1_TestCase_v0.1" xfId="3" xr:uid="{00000000-0005-0000-0000-000032000000}"/>
    <cellStyle name="標準_結合試験(AllOvertheWorld)" xfId="4" xr:uid="{00000000-0005-0000-0000-00003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sdc-nt2/osdc/Documents%20and%20Settings/ThoanCT/My%20Documents/Copy%20of%20DataLoadSheet9.xls" TargetMode="External"/><Relationship Id="rId1" Type="http://schemas.openxmlformats.org/officeDocument/2006/relationships/externalLinkPath" Target="/osdc-nt2/osdc/Documents%20and%20Settings/ThoanCT/My%20Documents/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Validation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quekhoait/CineFlow.gi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3"/>
  <sheetViews>
    <sheetView showGridLines="0" workbookViewId="0">
      <selection activeCell="C13" sqref="C13"/>
    </sheetView>
  </sheetViews>
  <sheetFormatPr defaultColWidth="9" defaultRowHeight="13.8"/>
  <cols>
    <col min="1" max="1" width="9" style="60"/>
    <col min="2" max="2" width="14.109375" style="60" customWidth="1"/>
    <col min="3" max="3" width="17.21875" style="60" customWidth="1"/>
    <col min="4" max="4" width="15" style="60" customWidth="1"/>
    <col min="5" max="5" width="32.44140625" style="60" customWidth="1"/>
    <col min="6" max="6" width="23.77734375" style="60" customWidth="1"/>
    <col min="7" max="7" width="20.44140625" style="60" customWidth="1"/>
    <col min="8" max="8" width="26.6640625" style="60" customWidth="1"/>
    <col min="9" max="10" width="9" style="60"/>
    <col min="11" max="11" width="15.109375" style="60" customWidth="1"/>
    <col min="12" max="16384" width="9" style="60"/>
  </cols>
  <sheetData>
    <row r="2" spans="1:12" ht="22.2">
      <c r="A2" s="61"/>
      <c r="B2" s="62" t="s">
        <v>0</v>
      </c>
      <c r="C2" s="61"/>
      <c r="D2" s="61"/>
      <c r="E2" s="61"/>
      <c r="F2" s="61"/>
      <c r="G2" s="61"/>
    </row>
    <row r="3" spans="1:12">
      <c r="A3" s="61"/>
      <c r="B3" s="63" t="s">
        <v>1</v>
      </c>
      <c r="C3" s="88" t="s">
        <v>15</v>
      </c>
      <c r="D3" s="64"/>
      <c r="E3" s="61"/>
      <c r="F3" s="61"/>
      <c r="G3" s="61"/>
    </row>
    <row r="4" spans="1:12">
      <c r="A4" s="61"/>
      <c r="B4" s="63" t="s">
        <v>2</v>
      </c>
      <c r="C4" s="65">
        <v>46362</v>
      </c>
      <c r="D4" s="65"/>
      <c r="E4" s="61"/>
      <c r="F4" s="61"/>
      <c r="G4" s="61"/>
    </row>
    <row r="5" spans="1:12">
      <c r="A5" s="61"/>
      <c r="B5" s="63"/>
      <c r="C5" s="64"/>
      <c r="D5" s="64"/>
      <c r="E5" s="61"/>
      <c r="F5" s="61"/>
      <c r="G5" s="61"/>
    </row>
    <row r="6" spans="1:12" ht="14.25" customHeight="1">
      <c r="A6" s="61"/>
      <c r="B6" s="63" t="s">
        <v>3</v>
      </c>
      <c r="C6" s="115" t="s">
        <v>4</v>
      </c>
      <c r="D6" s="115"/>
      <c r="E6" s="116"/>
      <c r="F6" s="61"/>
      <c r="G6" s="61"/>
    </row>
    <row r="7" spans="1:12" ht="14.4">
      <c r="A7" s="61"/>
      <c r="B7" s="63" t="s">
        <v>5</v>
      </c>
      <c r="C7" s="140" t="s">
        <v>46</v>
      </c>
      <c r="D7" s="115"/>
      <c r="E7" s="116"/>
      <c r="F7" s="61"/>
      <c r="G7" s="61"/>
    </row>
    <row r="8" spans="1:12">
      <c r="A8" s="61"/>
      <c r="B8" s="63"/>
      <c r="C8" s="61"/>
      <c r="D8" s="61"/>
      <c r="E8" s="61"/>
      <c r="F8" s="61"/>
      <c r="G8" s="61"/>
    </row>
    <row r="9" spans="1:12">
      <c r="A9" s="61"/>
      <c r="B9" s="6"/>
      <c r="C9" s="6"/>
      <c r="D9" s="6"/>
      <c r="E9" s="6"/>
      <c r="F9" s="61"/>
      <c r="G9" s="61"/>
    </row>
    <row r="10" spans="1:12">
      <c r="B10" s="66" t="s">
        <v>6</v>
      </c>
    </row>
    <row r="11" spans="1:12" s="58" customFormat="1" ht="26.4">
      <c r="B11" s="67" t="s">
        <v>7</v>
      </c>
      <c r="C11" s="68" t="s">
        <v>8</v>
      </c>
      <c r="D11" s="68" t="s">
        <v>9</v>
      </c>
      <c r="E11" s="68" t="s">
        <v>10</v>
      </c>
      <c r="F11" s="68" t="s">
        <v>11</v>
      </c>
      <c r="G11" s="69" t="s">
        <v>12</v>
      </c>
      <c r="H11" s="70" t="s">
        <v>13</v>
      </c>
    </row>
    <row r="12" spans="1:12" s="58" customFormat="1">
      <c r="B12" s="71" t="s">
        <v>14</v>
      </c>
      <c r="C12" s="72" t="s">
        <v>15</v>
      </c>
      <c r="D12" s="73"/>
      <c r="E12" s="74" t="s">
        <v>16</v>
      </c>
      <c r="F12" s="75" t="s">
        <v>17</v>
      </c>
      <c r="G12" s="76"/>
      <c r="H12" s="77"/>
    </row>
    <row r="13" spans="1:12" s="58" customFormat="1">
      <c r="B13" s="7"/>
      <c r="C13" s="72"/>
      <c r="D13" s="73"/>
      <c r="E13" s="74"/>
      <c r="F13" s="75"/>
      <c r="G13" s="78"/>
      <c r="H13" s="77"/>
    </row>
    <row r="14" spans="1:12" s="59" customFormat="1">
      <c r="B14" s="71"/>
      <c r="C14" s="72"/>
      <c r="D14" s="73"/>
      <c r="E14" s="74"/>
      <c r="F14" s="75"/>
      <c r="G14" s="78"/>
      <c r="H14" s="77"/>
      <c r="L14" s="58"/>
    </row>
    <row r="15" spans="1:12" s="59" customFormat="1" ht="13.2">
      <c r="B15" s="79"/>
      <c r="C15" s="80"/>
      <c r="D15" s="81"/>
      <c r="E15" s="81"/>
      <c r="F15" s="81"/>
      <c r="G15" s="81"/>
      <c r="H15" s="82"/>
    </row>
    <row r="16" spans="1:12" s="58" customFormat="1">
      <c r="B16" s="71"/>
      <c r="C16" s="72"/>
      <c r="D16" s="73"/>
      <c r="E16" s="81"/>
      <c r="F16" s="81"/>
      <c r="G16" s="81"/>
      <c r="H16" s="83"/>
    </row>
    <row r="17" spans="2:8" s="58" customFormat="1">
      <c r="B17" s="79"/>
      <c r="C17" s="80"/>
      <c r="D17" s="81"/>
      <c r="E17" s="81"/>
      <c r="F17" s="81"/>
      <c r="G17" s="81"/>
      <c r="H17" s="82"/>
    </row>
    <row r="18" spans="2:8" s="58" customFormat="1">
      <c r="B18" s="79"/>
      <c r="C18" s="80"/>
      <c r="D18" s="81"/>
      <c r="E18" s="81"/>
      <c r="F18" s="81"/>
      <c r="G18" s="81"/>
      <c r="H18" s="82"/>
    </row>
    <row r="19" spans="2:8" s="58" customFormat="1">
      <c r="B19" s="79"/>
      <c r="C19" s="80"/>
      <c r="D19" s="81"/>
      <c r="E19" s="81"/>
      <c r="F19" s="81"/>
      <c r="G19" s="81"/>
      <c r="H19" s="82"/>
    </row>
    <row r="20" spans="2:8" s="58" customFormat="1">
      <c r="B20" s="79"/>
      <c r="C20" s="80"/>
      <c r="D20" s="81"/>
      <c r="E20" s="81"/>
      <c r="F20" s="81"/>
      <c r="G20" s="81"/>
      <c r="H20" s="82"/>
    </row>
    <row r="21" spans="2:8" s="58" customFormat="1">
      <c r="B21" s="79"/>
      <c r="C21" s="80"/>
      <c r="D21" s="81"/>
      <c r="E21" s="81"/>
      <c r="F21" s="81"/>
      <c r="G21" s="81"/>
      <c r="H21" s="82"/>
    </row>
    <row r="22" spans="2:8" s="58" customFormat="1">
      <c r="B22" s="79"/>
      <c r="C22" s="80"/>
      <c r="D22" s="81"/>
      <c r="E22" s="81"/>
      <c r="F22" s="81"/>
      <c r="G22" s="81"/>
      <c r="H22" s="82"/>
    </row>
    <row r="23" spans="2:8" s="58" customFormat="1">
      <c r="B23" s="84"/>
      <c r="C23" s="85"/>
      <c r="D23" s="86"/>
      <c r="E23" s="86"/>
      <c r="F23" s="86"/>
      <c r="G23" s="86"/>
      <c r="H23" s="87"/>
    </row>
  </sheetData>
  <mergeCells count="2">
    <mergeCell ref="C6:E6"/>
    <mergeCell ref="C7:E7"/>
  </mergeCells>
  <hyperlinks>
    <hyperlink ref="C7" r:id="rId1" xr:uid="{4509C7F9-0D7F-44CE-95A9-5DB31F6A3252}"/>
  </hyperlinks>
  <pageMargins left="0.37" right="0.47" top="0.5" bottom="0.38" header="0.5" footer="0.17"/>
  <pageSetup paperSize="9" orientation="landscape" horizontalDpi="96" verticalDpi="96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48E1-AE79-4EE2-9553-EF563771C37E}">
  <dimension ref="A1:L71"/>
  <sheetViews>
    <sheetView workbookViewId="0">
      <selection activeCell="B14" sqref="B14"/>
    </sheetView>
  </sheetViews>
  <sheetFormatPr defaultColWidth="8.77734375" defaultRowHeight="13.8" outlineLevelRow="1"/>
  <cols>
    <col min="1" max="1" width="18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8.77734375" style="6"/>
    <col min="11" max="11" width="18" customWidth="1"/>
  </cols>
  <sheetData>
    <row r="1" spans="1:12" s="25" customFormat="1" ht="12.75" customHeight="1">
      <c r="A1" s="31" t="s">
        <v>0</v>
      </c>
      <c r="B1" s="107"/>
      <c r="C1" s="107"/>
      <c r="D1" s="107"/>
      <c r="E1" s="32"/>
      <c r="F1" s="32"/>
      <c r="G1" s="32"/>
      <c r="H1" s="32"/>
      <c r="I1" s="32"/>
      <c r="J1" s="52"/>
      <c r="K1" s="32"/>
      <c r="L1" s="33"/>
    </row>
    <row r="2" spans="1:12" s="25" customFormat="1" ht="11.25" customHeight="1" thickBot="1">
      <c r="A2" s="33"/>
      <c r="B2" s="108"/>
      <c r="C2" s="108"/>
      <c r="D2" s="108"/>
      <c r="E2" s="32"/>
      <c r="F2" s="32"/>
      <c r="G2" s="32"/>
      <c r="H2" s="32"/>
      <c r="I2" s="32"/>
      <c r="J2" s="52"/>
      <c r="K2" s="32"/>
      <c r="L2" s="33"/>
    </row>
    <row r="3" spans="1:12" s="26" customFormat="1" ht="15" customHeight="1">
      <c r="A3" s="34" t="s">
        <v>18</v>
      </c>
      <c r="B3" s="115" t="s">
        <v>4</v>
      </c>
      <c r="C3" s="115"/>
      <c r="D3" s="116"/>
      <c r="E3" s="35"/>
      <c r="F3" s="35"/>
      <c r="G3" s="35"/>
      <c r="H3" s="35"/>
      <c r="I3" s="122"/>
      <c r="J3" s="122"/>
      <c r="K3" s="122"/>
      <c r="L3" s="53"/>
    </row>
    <row r="4" spans="1:12" s="26" customFormat="1" ht="13.2">
      <c r="A4" s="36" t="s">
        <v>19</v>
      </c>
      <c r="B4" s="133" t="s">
        <v>49</v>
      </c>
      <c r="C4" s="134"/>
      <c r="D4" s="135"/>
      <c r="E4" s="35"/>
      <c r="F4" s="35"/>
      <c r="G4" s="35"/>
      <c r="H4" s="35"/>
      <c r="I4" s="122"/>
      <c r="J4" s="122"/>
      <c r="K4" s="122"/>
      <c r="L4" s="53"/>
    </row>
    <row r="5" spans="1:12" s="27" customFormat="1" ht="15" customHeight="1">
      <c r="A5" s="36" t="s">
        <v>20</v>
      </c>
      <c r="B5" s="136" t="s">
        <v>44</v>
      </c>
      <c r="C5" s="137"/>
      <c r="D5" s="138"/>
      <c r="E5" s="37"/>
      <c r="F5" s="37"/>
      <c r="G5" s="37"/>
      <c r="H5" s="37"/>
      <c r="I5" s="139"/>
      <c r="J5" s="139"/>
      <c r="K5" s="139"/>
      <c r="L5" s="54"/>
    </row>
    <row r="6" spans="1:12" s="26" customFormat="1" ht="15" customHeight="1">
      <c r="A6" s="38" t="s">
        <v>21</v>
      </c>
      <c r="B6" s="39">
        <f>COUNTIF(J12:J33,"Pass")</f>
        <v>0</v>
      </c>
      <c r="C6" s="40" t="s">
        <v>22</v>
      </c>
      <c r="D6" s="41">
        <f>COUNTIF(J10:J752,"Pending")</f>
        <v>0</v>
      </c>
      <c r="E6" s="42"/>
      <c r="F6" s="42"/>
      <c r="G6" s="42"/>
      <c r="H6" s="42"/>
      <c r="I6" s="122"/>
      <c r="J6" s="122"/>
      <c r="K6" s="122"/>
      <c r="L6" s="53"/>
    </row>
    <row r="7" spans="1:12" s="26" customFormat="1" ht="15" customHeight="1" thickBot="1">
      <c r="A7" s="43" t="s">
        <v>23</v>
      </c>
      <c r="B7" s="44">
        <f>COUNTIF(J12:J33,"Fail")</f>
        <v>0</v>
      </c>
      <c r="C7" s="45" t="s">
        <v>24</v>
      </c>
      <c r="D7" s="46">
        <f>COUNTIF(A12:A33, "TC*")</f>
        <v>1</v>
      </c>
      <c r="E7" s="47"/>
      <c r="F7" s="47"/>
      <c r="G7" s="47"/>
      <c r="H7" s="47"/>
      <c r="I7" s="122"/>
      <c r="J7" s="122"/>
      <c r="K7" s="122"/>
      <c r="L7" s="53"/>
    </row>
    <row r="8" spans="1:12" s="26" customFormat="1" ht="15" customHeight="1">
      <c r="A8" s="123"/>
      <c r="B8" s="123"/>
      <c r="C8" s="123"/>
      <c r="D8" s="123"/>
      <c r="E8" s="42"/>
      <c r="F8" s="42"/>
      <c r="G8" s="42"/>
      <c r="H8" s="42"/>
      <c r="I8" s="42"/>
      <c r="J8" s="55"/>
      <c r="K8" s="55"/>
      <c r="L8" s="53"/>
    </row>
    <row r="9" spans="1:12" s="28" customFormat="1" ht="12" customHeight="1">
      <c r="A9" s="127" t="s">
        <v>25</v>
      </c>
      <c r="B9" s="129" t="s">
        <v>26</v>
      </c>
      <c r="C9" s="127" t="s">
        <v>27</v>
      </c>
      <c r="D9" s="109" t="s">
        <v>28</v>
      </c>
      <c r="E9" s="110"/>
      <c r="F9" s="110"/>
      <c r="G9" s="111"/>
      <c r="H9" s="131" t="s">
        <v>29</v>
      </c>
      <c r="I9" s="132" t="s">
        <v>30</v>
      </c>
      <c r="J9" s="132" t="s">
        <v>31</v>
      </c>
      <c r="K9" s="132" t="s">
        <v>32</v>
      </c>
      <c r="L9" s="56"/>
    </row>
    <row r="10" spans="1:12" s="26" customFormat="1" ht="12" customHeight="1">
      <c r="A10" s="128"/>
      <c r="B10" s="130"/>
      <c r="C10" s="128"/>
      <c r="D10" s="112"/>
      <c r="E10" s="113"/>
      <c r="F10" s="113"/>
      <c r="G10" s="114"/>
      <c r="H10" s="127"/>
      <c r="I10" s="127"/>
      <c r="J10" s="127"/>
      <c r="K10" s="127"/>
      <c r="L10" s="53"/>
    </row>
    <row r="11" spans="1:12" s="29" customFormat="1" ht="15">
      <c r="A11" s="124"/>
      <c r="B11" s="124"/>
      <c r="C11" s="124"/>
      <c r="D11" s="124"/>
      <c r="E11" s="124"/>
      <c r="F11" s="124"/>
      <c r="G11" s="124"/>
      <c r="H11" s="124"/>
      <c r="I11" s="124"/>
      <c r="J11" s="124"/>
      <c r="K11" s="125"/>
    </row>
    <row r="12" spans="1:12" s="30" customFormat="1" ht="13.2">
      <c r="A12" s="117" t="s">
        <v>33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26"/>
    </row>
    <row r="13" spans="1:12" s="30" customFormat="1" ht="13.2" outlineLevel="1">
      <c r="A13" s="49" t="s">
        <v>45</v>
      </c>
      <c r="B13" s="50"/>
      <c r="C13" s="51"/>
      <c r="D13" s="142"/>
      <c r="E13" s="142"/>
      <c r="F13" s="142"/>
      <c r="G13" s="51"/>
      <c r="H13" s="51"/>
      <c r="I13" s="89"/>
      <c r="J13" s="51"/>
      <c r="K13" s="51"/>
    </row>
    <row r="14" spans="1:12" s="30" customFormat="1" ht="13.2" outlineLevel="1">
      <c r="A14" s="49"/>
      <c r="B14" s="50"/>
      <c r="C14" s="51"/>
      <c r="D14" s="141"/>
      <c r="E14" s="141"/>
      <c r="F14" s="141"/>
      <c r="G14" s="51"/>
      <c r="H14" s="51"/>
      <c r="I14" s="89"/>
      <c r="J14" s="51"/>
      <c r="K14" s="51"/>
    </row>
    <row r="15" spans="1:12" s="30" customFormat="1" ht="13.2" outlineLevel="1">
      <c r="A15" s="49"/>
      <c r="B15" s="50"/>
      <c r="C15" s="51"/>
      <c r="D15" s="141"/>
      <c r="E15" s="141"/>
      <c r="F15" s="141"/>
      <c r="G15" s="51"/>
      <c r="H15" s="51"/>
      <c r="I15" s="89"/>
      <c r="J15" s="51"/>
      <c r="K15" s="51"/>
    </row>
    <row r="16" spans="1:12" s="30" customFormat="1" ht="13.2" outlineLevel="1">
      <c r="A16" s="49"/>
      <c r="B16" s="50"/>
      <c r="C16" s="51"/>
      <c r="D16" s="141"/>
      <c r="E16" s="141"/>
      <c r="F16" s="141"/>
      <c r="G16" s="51"/>
      <c r="H16" s="51"/>
      <c r="I16" s="89"/>
      <c r="J16" s="51"/>
      <c r="K16" s="51"/>
    </row>
    <row r="17" spans="1:11" s="30" customFormat="1" ht="13.2" outlineLevel="1">
      <c r="A17" s="49"/>
      <c r="B17" s="50"/>
      <c r="C17" s="51"/>
      <c r="D17" s="141"/>
      <c r="E17" s="141"/>
      <c r="F17" s="141"/>
      <c r="G17" s="51"/>
      <c r="H17" s="51"/>
      <c r="I17" s="89"/>
      <c r="J17" s="51"/>
      <c r="K17" s="51"/>
    </row>
    <row r="18" spans="1:11" s="30" customFormat="1" ht="13.2" outlineLevel="1">
      <c r="A18" s="49"/>
      <c r="B18" s="50"/>
      <c r="C18" s="51"/>
      <c r="D18" s="141"/>
      <c r="E18" s="141"/>
      <c r="F18" s="141"/>
      <c r="G18" s="51"/>
      <c r="H18" s="51"/>
      <c r="I18" s="89"/>
      <c r="J18" s="51"/>
      <c r="K18" s="51"/>
    </row>
    <row r="19" spans="1:11" s="30" customFormat="1" ht="13.2" outlineLevel="1">
      <c r="A19" s="49"/>
      <c r="B19" s="50"/>
      <c r="C19" s="51"/>
      <c r="D19" s="141"/>
      <c r="E19" s="141"/>
      <c r="F19" s="141"/>
      <c r="G19" s="51"/>
      <c r="H19" s="51"/>
      <c r="I19" s="89"/>
      <c r="J19" s="51"/>
      <c r="K19" s="51"/>
    </row>
    <row r="20" spans="1:11" s="30" customFormat="1" ht="13.2" outlineLevel="1">
      <c r="A20" s="143"/>
      <c r="B20" s="144"/>
      <c r="C20" s="144"/>
      <c r="D20" s="48"/>
      <c r="E20" s="48"/>
      <c r="F20" s="48"/>
      <c r="G20" s="48"/>
      <c r="H20" s="48"/>
      <c r="I20" s="48"/>
      <c r="J20" s="48"/>
      <c r="K20" s="57"/>
    </row>
    <row r="21" spans="1:11" s="30" customFormat="1" ht="13.2" outlineLevel="1">
      <c r="A21" s="49"/>
      <c r="B21" s="50"/>
      <c r="C21" s="51"/>
      <c r="D21" s="141"/>
      <c r="E21" s="141"/>
      <c r="F21" s="141"/>
      <c r="G21" s="51"/>
      <c r="H21" s="51"/>
      <c r="I21" s="89"/>
      <c r="J21" s="51"/>
      <c r="K21" s="51"/>
    </row>
    <row r="22" spans="1:11" s="30" customFormat="1" ht="13.2" outlineLevel="1">
      <c r="A22" s="49"/>
      <c r="B22" s="50"/>
      <c r="C22" s="51"/>
      <c r="D22" s="141"/>
      <c r="E22" s="141"/>
      <c r="F22" s="141"/>
      <c r="G22" s="51"/>
      <c r="H22" s="51"/>
      <c r="I22" s="89"/>
      <c r="J22" s="51"/>
      <c r="K22" s="51"/>
    </row>
    <row r="23" spans="1:11" s="30" customFormat="1" ht="13.2" outlineLevel="1">
      <c r="A23" s="49"/>
      <c r="B23" s="50"/>
      <c r="C23" s="51"/>
      <c r="D23" s="141"/>
      <c r="E23" s="141"/>
      <c r="F23" s="141"/>
      <c r="G23" s="51"/>
      <c r="H23" s="51"/>
      <c r="I23" s="89"/>
      <c r="J23" s="51"/>
      <c r="K23" s="51"/>
    </row>
    <row r="24" spans="1:11" s="30" customFormat="1" ht="13.2" outlineLevel="1">
      <c r="A24" s="49"/>
      <c r="B24" s="50"/>
      <c r="C24" s="51"/>
      <c r="D24" s="141"/>
      <c r="E24" s="141"/>
      <c r="F24" s="141"/>
      <c r="G24" s="51"/>
      <c r="H24" s="51"/>
      <c r="I24" s="89"/>
      <c r="J24" s="51"/>
      <c r="K24" s="51"/>
    </row>
    <row r="25" spans="1:11" s="30" customFormat="1" ht="13.2" outlineLevel="1">
      <c r="A25" s="49"/>
      <c r="B25" s="50"/>
      <c r="C25" s="51"/>
      <c r="D25" s="141"/>
      <c r="E25" s="141"/>
      <c r="F25" s="141"/>
      <c r="G25" s="51"/>
      <c r="H25" s="51"/>
      <c r="I25" s="89"/>
      <c r="J25" s="51"/>
      <c r="K25" s="51"/>
    </row>
    <row r="26" spans="1:11" s="30" customFormat="1" ht="18" customHeight="1" outlineLevel="1">
      <c r="A26" s="49"/>
      <c r="B26" s="50"/>
      <c r="C26" s="51"/>
      <c r="D26" s="141"/>
      <c r="E26" s="141"/>
      <c r="F26" s="141"/>
      <c r="G26" s="51"/>
      <c r="H26" s="51"/>
      <c r="I26" s="89"/>
      <c r="J26" s="51"/>
      <c r="K26" s="51"/>
    </row>
    <row r="27" spans="1:11" s="30" customFormat="1" ht="13.2" outlineLevel="1">
      <c r="A27" s="143"/>
      <c r="B27" s="144"/>
      <c r="C27" s="144"/>
      <c r="D27" s="48"/>
      <c r="E27" s="48"/>
      <c r="F27" s="48"/>
      <c r="G27" s="48"/>
      <c r="H27" s="48"/>
      <c r="I27" s="48"/>
      <c r="J27" s="48"/>
      <c r="K27" s="57"/>
    </row>
    <row r="28" spans="1:11" s="30" customFormat="1" ht="13.2" outlineLevel="1">
      <c r="A28" s="49"/>
      <c r="B28" s="50"/>
      <c r="C28" s="51"/>
      <c r="D28" s="141"/>
      <c r="E28" s="141"/>
      <c r="F28" s="141"/>
      <c r="G28" s="51"/>
      <c r="H28" s="51"/>
      <c r="I28" s="89"/>
      <c r="J28" s="51"/>
      <c r="K28" s="51"/>
    </row>
    <row r="29" spans="1:11" s="30" customFormat="1" ht="13.2" outlineLevel="1">
      <c r="A29" s="49"/>
      <c r="B29" s="50"/>
      <c r="C29" s="51"/>
      <c r="D29" s="141"/>
      <c r="E29" s="141"/>
      <c r="F29" s="141"/>
      <c r="G29" s="51"/>
      <c r="H29" s="51"/>
      <c r="I29" s="89"/>
      <c r="J29" s="51"/>
      <c r="K29" s="51"/>
    </row>
    <row r="30" spans="1:11" s="30" customFormat="1" ht="13.2" outlineLevel="1">
      <c r="A30" s="49"/>
      <c r="B30" s="50"/>
      <c r="C30" s="51"/>
      <c r="D30" s="141"/>
      <c r="E30" s="141"/>
      <c r="F30" s="141"/>
      <c r="G30" s="51"/>
      <c r="H30" s="51"/>
      <c r="I30" s="89"/>
      <c r="J30" s="51"/>
      <c r="K30" s="51"/>
    </row>
    <row r="31" spans="1:11" s="30" customFormat="1" ht="13.2" outlineLevel="1">
      <c r="A31" s="49"/>
      <c r="B31" s="50"/>
      <c r="C31" s="51"/>
      <c r="D31" s="141"/>
      <c r="E31" s="141"/>
      <c r="F31" s="141"/>
      <c r="G31" s="51"/>
      <c r="H31" s="51"/>
      <c r="I31" s="89"/>
      <c r="J31" s="51"/>
      <c r="K31" s="51"/>
    </row>
    <row r="32" spans="1:11" s="30" customFormat="1" ht="13.2" outlineLevel="1">
      <c r="A32" s="49"/>
      <c r="B32" s="50"/>
      <c r="C32" s="51"/>
      <c r="D32" s="141"/>
      <c r="E32" s="141"/>
      <c r="F32" s="141"/>
      <c r="G32" s="51"/>
      <c r="H32" s="51"/>
      <c r="I32" s="89"/>
      <c r="J32" s="51"/>
      <c r="K32" s="51"/>
    </row>
    <row r="33" spans="1:11" s="30" customFormat="1" ht="13.8" customHeight="1" outlineLevel="1">
      <c r="A33" s="49"/>
      <c r="B33" s="50"/>
      <c r="C33" s="51"/>
      <c r="D33" s="141"/>
      <c r="E33" s="141"/>
      <c r="F33" s="141"/>
      <c r="G33" s="51"/>
      <c r="H33" s="51"/>
      <c r="I33" s="89"/>
      <c r="J33" s="51"/>
      <c r="K33" s="51"/>
    </row>
    <row r="34" spans="1:11" ht="12" customHeight="1"/>
    <row r="35" spans="1:11" ht="12" customHeight="1"/>
    <row r="36" spans="1:11" ht="12" customHeight="1"/>
    <row r="37" spans="1:11" ht="12" customHeight="1"/>
    <row r="38" spans="1:11" ht="12" customHeight="1"/>
    <row r="39" spans="1:11" ht="12" customHeight="1"/>
    <row r="40" spans="1:11" ht="12" customHeight="1"/>
    <row r="41" spans="1:11" ht="12" customHeight="1"/>
    <row r="42" spans="1:11" ht="12" customHeight="1"/>
    <row r="43" spans="1:11" ht="12" customHeight="1"/>
    <row r="44" spans="1:11" ht="12" customHeight="1"/>
    <row r="45" spans="1:11" ht="12" customHeight="1"/>
    <row r="46" spans="1:11" ht="12" customHeight="1"/>
    <row r="47" spans="1:11" ht="12" customHeight="1"/>
    <row r="48" spans="1:11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</sheetData>
  <mergeCells count="41">
    <mergeCell ref="D33:F33"/>
    <mergeCell ref="D22:F22"/>
    <mergeCell ref="D23:F23"/>
    <mergeCell ref="D24:F24"/>
    <mergeCell ref="D25:F25"/>
    <mergeCell ref="D26:F26"/>
    <mergeCell ref="D28:F28"/>
    <mergeCell ref="D29:F29"/>
    <mergeCell ref="D30:F30"/>
    <mergeCell ref="D31:F31"/>
    <mergeCell ref="D32:F32"/>
    <mergeCell ref="A27:C27"/>
    <mergeCell ref="D16:F16"/>
    <mergeCell ref="D17:F17"/>
    <mergeCell ref="D18:F18"/>
    <mergeCell ref="D19:F19"/>
    <mergeCell ref="A20:C20"/>
    <mergeCell ref="D21:F21"/>
    <mergeCell ref="D15:F15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K9:K10"/>
    <mergeCell ref="A11:K11"/>
    <mergeCell ref="A12:K12"/>
    <mergeCell ref="D13:F13"/>
    <mergeCell ref="D14:F14"/>
    <mergeCell ref="B5:D5"/>
    <mergeCell ref="I5:K5"/>
    <mergeCell ref="B1:D2"/>
    <mergeCell ref="B3:D3"/>
    <mergeCell ref="I3:K3"/>
    <mergeCell ref="B4:D4"/>
    <mergeCell ref="I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72"/>
  <sheetViews>
    <sheetView tabSelected="1" topLeftCell="A17" workbookViewId="0">
      <selection activeCell="D14" sqref="D14:E14"/>
    </sheetView>
  </sheetViews>
  <sheetFormatPr defaultColWidth="8.77734375" defaultRowHeight="13.8" outlineLevelRow="1"/>
  <cols>
    <col min="1" max="1" width="18" customWidth="1"/>
    <col min="2" max="2" width="18.109375" customWidth="1"/>
    <col min="3" max="3" width="42.109375" customWidth="1"/>
    <col min="4" max="4" width="28.109375" customWidth="1"/>
    <col min="5" max="5" width="13.109375" customWidth="1"/>
    <col min="6" max="6" width="18.44140625" hidden="1" customWidth="1"/>
    <col min="7" max="7" width="38" customWidth="1"/>
    <col min="8" max="8" width="17.109375" customWidth="1"/>
    <col min="9" max="9" width="9" style="6"/>
    <col min="10" max="10" width="18" customWidth="1"/>
  </cols>
  <sheetData>
    <row r="1" spans="1:11" s="25" customFormat="1" ht="12.75" customHeight="1">
      <c r="A1" s="31" t="s">
        <v>0</v>
      </c>
      <c r="B1" s="107"/>
      <c r="C1" s="107"/>
      <c r="D1" s="107"/>
      <c r="E1" s="32"/>
      <c r="F1" s="32"/>
      <c r="G1" s="32"/>
      <c r="H1" s="32"/>
      <c r="I1" s="52"/>
      <c r="J1" s="32"/>
      <c r="K1" s="33"/>
    </row>
    <row r="2" spans="1:11" s="25" customFormat="1" ht="11.25" customHeight="1" thickBot="1">
      <c r="A2" s="33"/>
      <c r="B2" s="108"/>
      <c r="C2" s="108"/>
      <c r="D2" s="108"/>
      <c r="E2" s="32"/>
      <c r="F2" s="32"/>
      <c r="G2" s="32"/>
      <c r="H2" s="32"/>
      <c r="I2" s="52"/>
      <c r="J2" s="32"/>
      <c r="K2" s="33"/>
    </row>
    <row r="3" spans="1:11" s="26" customFormat="1" ht="15" customHeight="1">
      <c r="A3" s="34" t="s">
        <v>18</v>
      </c>
      <c r="B3" s="115" t="s">
        <v>4</v>
      </c>
      <c r="C3" s="115"/>
      <c r="D3" s="116"/>
      <c r="E3" s="35"/>
      <c r="F3" s="35"/>
      <c r="G3" s="35"/>
      <c r="H3" s="122"/>
      <c r="I3" s="122"/>
      <c r="J3" s="122"/>
      <c r="K3" s="53"/>
    </row>
    <row r="4" spans="1:11" s="26" customFormat="1" ht="13.2">
      <c r="A4" s="36" t="s">
        <v>19</v>
      </c>
      <c r="B4" s="133" t="s">
        <v>50</v>
      </c>
      <c r="C4" s="134"/>
      <c r="D4" s="135"/>
      <c r="E4" s="35"/>
      <c r="F4" s="35"/>
      <c r="G4" s="35"/>
      <c r="H4" s="122"/>
      <c r="I4" s="122"/>
      <c r="J4" s="122"/>
      <c r="K4" s="53"/>
    </row>
    <row r="5" spans="1:11" s="27" customFormat="1" ht="15" customHeight="1">
      <c r="A5" s="36" t="s">
        <v>20</v>
      </c>
      <c r="B5" s="136" t="s">
        <v>44</v>
      </c>
      <c r="C5" s="137"/>
      <c r="D5" s="138"/>
      <c r="E5" s="37"/>
      <c r="F5" s="37"/>
      <c r="G5" s="37"/>
      <c r="H5" s="139"/>
      <c r="I5" s="139"/>
      <c r="J5" s="139"/>
      <c r="K5" s="54"/>
    </row>
    <row r="6" spans="1:11" s="26" customFormat="1" ht="15" customHeight="1">
      <c r="A6" s="38" t="s">
        <v>21</v>
      </c>
      <c r="B6" s="39">
        <f>COUNTIF(I12:I34,"Pass")</f>
        <v>0</v>
      </c>
      <c r="C6" s="40" t="s">
        <v>22</v>
      </c>
      <c r="D6" s="41">
        <f>COUNTIF(I10:I753,"Pending")</f>
        <v>0</v>
      </c>
      <c r="E6" s="42"/>
      <c r="F6" s="42"/>
      <c r="G6" s="42"/>
      <c r="H6" s="122"/>
      <c r="I6" s="122"/>
      <c r="J6" s="122"/>
      <c r="K6" s="53"/>
    </row>
    <row r="7" spans="1:11" s="26" customFormat="1" ht="15" customHeight="1" thickBot="1">
      <c r="A7" s="43" t="s">
        <v>23</v>
      </c>
      <c r="B7" s="44">
        <f>COUNTIF(I12:I34,"Fail")</f>
        <v>0</v>
      </c>
      <c r="C7" s="45" t="s">
        <v>24</v>
      </c>
      <c r="D7" s="46">
        <f>COUNTIF(A12:A34, "TC*")</f>
        <v>18</v>
      </c>
      <c r="E7" s="47"/>
      <c r="F7" s="47"/>
      <c r="G7" s="47"/>
      <c r="H7" s="122"/>
      <c r="I7" s="122"/>
      <c r="J7" s="122"/>
      <c r="K7" s="53"/>
    </row>
    <row r="8" spans="1:11" s="26" customFormat="1" ht="15" customHeight="1">
      <c r="A8" s="123"/>
      <c r="B8" s="123"/>
      <c r="C8" s="123"/>
      <c r="D8" s="123"/>
      <c r="E8" s="42"/>
      <c r="F8" s="42"/>
      <c r="G8" s="42"/>
      <c r="H8" s="42"/>
      <c r="I8" s="55"/>
      <c r="J8" s="55"/>
      <c r="K8" s="53"/>
    </row>
    <row r="9" spans="1:11" s="28" customFormat="1" ht="12" customHeight="1">
      <c r="A9" s="127" t="s">
        <v>25</v>
      </c>
      <c r="B9" s="129" t="s">
        <v>26</v>
      </c>
      <c r="C9" s="127" t="s">
        <v>27</v>
      </c>
      <c r="D9" s="109" t="s">
        <v>28</v>
      </c>
      <c r="E9" s="110"/>
      <c r="F9" s="111"/>
      <c r="G9" s="131" t="s">
        <v>29</v>
      </c>
      <c r="H9" s="132" t="s">
        <v>30</v>
      </c>
      <c r="I9" s="132" t="s">
        <v>31</v>
      </c>
      <c r="J9" s="132" t="s">
        <v>32</v>
      </c>
      <c r="K9" s="56"/>
    </row>
    <row r="10" spans="1:11" s="26" customFormat="1" ht="12" customHeight="1">
      <c r="A10" s="128"/>
      <c r="B10" s="130"/>
      <c r="C10" s="128"/>
      <c r="D10" s="112"/>
      <c r="E10" s="113"/>
      <c r="F10" s="114"/>
      <c r="G10" s="127"/>
      <c r="H10" s="127"/>
      <c r="I10" s="127"/>
      <c r="J10" s="127"/>
      <c r="K10" s="53"/>
    </row>
    <row r="11" spans="1:11" s="29" customFormat="1" ht="15">
      <c r="A11" s="124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1" s="30" customFormat="1" ht="13.2">
      <c r="A12" s="117" t="s">
        <v>51</v>
      </c>
      <c r="B12" s="118"/>
      <c r="C12" s="118"/>
      <c r="D12" s="118"/>
      <c r="E12" s="118"/>
      <c r="F12" s="118"/>
      <c r="G12" s="118"/>
      <c r="H12" s="118"/>
      <c r="I12" s="118"/>
      <c r="J12" s="126"/>
    </row>
    <row r="13" spans="1:11" s="30" customFormat="1" ht="26.4" outlineLevel="1">
      <c r="A13" s="49" t="s">
        <v>45</v>
      </c>
      <c r="B13" s="50" t="s">
        <v>52</v>
      </c>
      <c r="C13" s="51" t="s">
        <v>53</v>
      </c>
      <c r="D13" s="103" t="s">
        <v>54</v>
      </c>
      <c r="E13" s="104"/>
      <c r="F13" s="51"/>
      <c r="G13" s="51"/>
      <c r="H13" s="89"/>
      <c r="I13" s="51"/>
      <c r="J13" s="51"/>
    </row>
    <row r="14" spans="1:11" s="30" customFormat="1" ht="13.2" outlineLevel="1">
      <c r="A14" s="49" t="s">
        <v>47</v>
      </c>
      <c r="B14" s="50" t="s">
        <v>55</v>
      </c>
      <c r="C14" s="51" t="s">
        <v>56</v>
      </c>
      <c r="D14" s="105" t="s">
        <v>57</v>
      </c>
      <c r="E14" s="106"/>
      <c r="F14" s="51"/>
      <c r="G14" s="51"/>
      <c r="H14" s="89"/>
      <c r="I14" s="51"/>
      <c r="J14" s="51"/>
    </row>
    <row r="15" spans="1:11" s="30" customFormat="1" ht="26.4" outlineLevel="1">
      <c r="A15" s="49" t="s">
        <v>70</v>
      </c>
      <c r="B15" s="50" t="s">
        <v>58</v>
      </c>
      <c r="C15" s="51" t="s">
        <v>59</v>
      </c>
      <c r="D15" s="105" t="s">
        <v>60</v>
      </c>
      <c r="E15" s="106"/>
      <c r="F15" s="51"/>
      <c r="G15" s="51"/>
      <c r="H15" s="89"/>
      <c r="I15" s="51"/>
      <c r="J15" s="51"/>
    </row>
    <row r="16" spans="1:11" s="30" customFormat="1" ht="13.2" outlineLevel="1">
      <c r="A16" s="49" t="s">
        <v>71</v>
      </c>
      <c r="B16" s="50" t="s">
        <v>63</v>
      </c>
      <c r="C16" s="51" t="s">
        <v>64</v>
      </c>
      <c r="D16" s="105"/>
      <c r="E16" s="106"/>
      <c r="F16" s="51"/>
      <c r="G16" s="51"/>
      <c r="H16" s="89"/>
      <c r="I16" s="51"/>
      <c r="J16" s="51"/>
    </row>
    <row r="17" spans="1:10" s="30" customFormat="1" ht="13.2" outlineLevel="1">
      <c r="A17" s="49" t="s">
        <v>72</v>
      </c>
      <c r="B17" s="50" t="s">
        <v>65</v>
      </c>
      <c r="C17" s="51" t="s">
        <v>66</v>
      </c>
      <c r="D17" s="105"/>
      <c r="E17" s="106"/>
      <c r="F17" s="51"/>
      <c r="G17" s="51"/>
      <c r="H17" s="89"/>
      <c r="I17" s="51"/>
      <c r="J17" s="51"/>
    </row>
    <row r="18" spans="1:10" s="30" customFormat="1" ht="26.4" outlineLevel="1">
      <c r="A18" s="49" t="s">
        <v>73</v>
      </c>
      <c r="B18" s="50" t="s">
        <v>67</v>
      </c>
      <c r="C18" s="51" t="s">
        <v>68</v>
      </c>
      <c r="D18" s="105"/>
      <c r="E18" s="106"/>
      <c r="F18" s="51"/>
      <c r="G18" s="51"/>
      <c r="H18" s="89"/>
      <c r="I18" s="51"/>
      <c r="J18" s="51"/>
    </row>
    <row r="19" spans="1:10" s="30" customFormat="1" ht="26.4" outlineLevel="1">
      <c r="A19" s="49" t="s">
        <v>80</v>
      </c>
      <c r="B19" s="50" t="s">
        <v>81</v>
      </c>
      <c r="C19" s="96" t="s">
        <v>82</v>
      </c>
      <c r="D19" s="105"/>
      <c r="E19" s="106"/>
      <c r="F19" s="51"/>
      <c r="G19" s="51"/>
      <c r="H19" s="89"/>
      <c r="I19" s="51"/>
      <c r="J19" s="51"/>
    </row>
    <row r="20" spans="1:10" s="30" customFormat="1" ht="13.2" outlineLevel="1">
      <c r="A20" s="117" t="s">
        <v>69</v>
      </c>
      <c r="B20" s="118"/>
      <c r="C20" s="118"/>
      <c r="D20" s="48"/>
      <c r="E20" s="48"/>
      <c r="F20" s="48"/>
      <c r="G20" s="48"/>
      <c r="H20" s="48"/>
      <c r="I20" s="48"/>
      <c r="J20" s="57"/>
    </row>
    <row r="21" spans="1:10" s="30" customFormat="1" ht="13.2" outlineLevel="1">
      <c r="A21" s="49" t="s">
        <v>45</v>
      </c>
      <c r="B21" s="50" t="s">
        <v>74</v>
      </c>
      <c r="C21" s="51" t="s">
        <v>75</v>
      </c>
      <c r="D21" s="105"/>
      <c r="E21" s="106"/>
      <c r="F21" s="51"/>
      <c r="G21" s="51"/>
      <c r="H21" s="89"/>
      <c r="I21" s="51"/>
      <c r="J21" s="51"/>
    </row>
    <row r="22" spans="1:10" s="30" customFormat="1" ht="13.2" outlineLevel="1">
      <c r="A22" s="49" t="s">
        <v>47</v>
      </c>
      <c r="B22" s="50" t="s">
        <v>76</v>
      </c>
      <c r="C22" s="51" t="s">
        <v>77</v>
      </c>
      <c r="D22" s="105"/>
      <c r="E22" s="106"/>
      <c r="F22" s="51"/>
      <c r="G22" s="51"/>
      <c r="H22" s="89"/>
      <c r="I22" s="51"/>
      <c r="J22" s="51"/>
    </row>
    <row r="23" spans="1:10" s="30" customFormat="1" ht="13.2" outlineLevel="1">
      <c r="A23" s="49" t="s">
        <v>70</v>
      </c>
      <c r="B23" s="50" t="s">
        <v>65</v>
      </c>
      <c r="C23" s="51"/>
      <c r="D23" s="105"/>
      <c r="E23" s="106"/>
      <c r="F23" s="51"/>
      <c r="G23" s="51"/>
      <c r="H23" s="89"/>
      <c r="I23" s="51"/>
      <c r="J23" s="51"/>
    </row>
    <row r="24" spans="1:10" s="30" customFormat="1" ht="13.2" outlineLevel="1">
      <c r="A24" s="49" t="s">
        <v>71</v>
      </c>
      <c r="B24" s="50" t="s">
        <v>78</v>
      </c>
      <c r="C24" s="51" t="s">
        <v>79</v>
      </c>
      <c r="D24" s="105"/>
      <c r="E24" s="106"/>
      <c r="F24" s="51"/>
      <c r="G24" s="51"/>
      <c r="H24" s="89"/>
      <c r="I24" s="51"/>
      <c r="J24" s="51"/>
    </row>
    <row r="25" spans="1:10" s="30" customFormat="1" ht="13.2" outlineLevel="1">
      <c r="A25" s="49" t="s">
        <v>72</v>
      </c>
      <c r="B25" s="50" t="s">
        <v>83</v>
      </c>
      <c r="C25" s="51" t="s">
        <v>68</v>
      </c>
      <c r="D25" s="105"/>
      <c r="E25" s="106"/>
      <c r="F25" s="51"/>
      <c r="G25" s="51"/>
      <c r="H25" s="89"/>
      <c r="I25" s="51"/>
      <c r="J25" s="51"/>
    </row>
    <row r="26" spans="1:10" s="30" customFormat="1" ht="26.4" outlineLevel="1">
      <c r="A26" s="49" t="s">
        <v>73</v>
      </c>
      <c r="B26" s="50" t="s">
        <v>81</v>
      </c>
      <c r="C26" s="96" t="s">
        <v>82</v>
      </c>
      <c r="D26" s="51"/>
      <c r="E26" s="51"/>
      <c r="F26" s="51"/>
      <c r="G26" s="51"/>
      <c r="H26" s="89"/>
      <c r="I26" s="51"/>
      <c r="J26" s="51"/>
    </row>
    <row r="27" spans="1:10" s="30" customFormat="1" ht="18" customHeight="1" outlineLevel="1">
      <c r="A27" s="97" t="s">
        <v>80</v>
      </c>
      <c r="B27" s="97" t="s">
        <v>84</v>
      </c>
      <c r="C27" s="97" t="s">
        <v>85</v>
      </c>
      <c r="D27" s="105"/>
      <c r="E27" s="106"/>
      <c r="F27" s="51"/>
      <c r="G27" s="51"/>
      <c r="H27" s="89"/>
      <c r="I27" s="51"/>
      <c r="J27" s="51"/>
    </row>
    <row r="28" spans="1:10" s="30" customFormat="1" ht="13.2" outlineLevel="1">
      <c r="A28" s="119" t="s">
        <v>86</v>
      </c>
      <c r="B28" s="118"/>
      <c r="C28" s="118"/>
      <c r="D28" s="48"/>
      <c r="E28" s="48"/>
      <c r="F28" s="48"/>
      <c r="G28" s="48"/>
      <c r="H28" s="48"/>
      <c r="I28" s="48"/>
      <c r="J28" s="57"/>
    </row>
    <row r="29" spans="1:10" s="30" customFormat="1" ht="26.4" outlineLevel="1">
      <c r="A29" s="98" t="s">
        <v>45</v>
      </c>
      <c r="B29" s="99" t="s">
        <v>88</v>
      </c>
      <c r="C29" s="100" t="s">
        <v>90</v>
      </c>
      <c r="D29" s="101" t="s">
        <v>92</v>
      </c>
      <c r="F29" s="51"/>
      <c r="G29" s="51"/>
      <c r="H29" s="89"/>
      <c r="I29" s="51"/>
      <c r="J29" s="51"/>
    </row>
    <row r="30" spans="1:10" s="30" customFormat="1" ht="26.4" outlineLevel="1">
      <c r="A30" s="98" t="s">
        <v>47</v>
      </c>
      <c r="B30" s="99" t="s">
        <v>89</v>
      </c>
      <c r="C30" s="100" t="s">
        <v>87</v>
      </c>
      <c r="D30" s="120" t="s">
        <v>91</v>
      </c>
      <c r="E30" s="121"/>
      <c r="F30" s="51"/>
      <c r="G30" s="51"/>
      <c r="H30" s="89"/>
      <c r="I30" s="51"/>
      <c r="J30" s="51"/>
    </row>
    <row r="31" spans="1:10" s="30" customFormat="1" ht="26.4" outlineLevel="1">
      <c r="A31" s="98" t="s">
        <v>61</v>
      </c>
      <c r="B31" s="99" t="s">
        <v>93</v>
      </c>
      <c r="C31" s="102" t="s">
        <v>94</v>
      </c>
      <c r="D31" s="105"/>
      <c r="E31" s="106"/>
      <c r="F31" s="51"/>
      <c r="G31" s="51"/>
      <c r="H31" s="89"/>
      <c r="I31" s="51"/>
      <c r="J31" s="51"/>
    </row>
    <row r="32" spans="1:10" s="30" customFormat="1" ht="13.2" outlineLevel="1">
      <c r="A32" s="98" t="s">
        <v>62</v>
      </c>
      <c r="B32" s="99" t="s">
        <v>95</v>
      </c>
      <c r="C32" s="102" t="s">
        <v>96</v>
      </c>
      <c r="D32" s="105"/>
      <c r="E32" s="106"/>
      <c r="F32" s="51"/>
      <c r="G32" s="51"/>
      <c r="H32" s="89"/>
      <c r="I32" s="51"/>
      <c r="J32" s="51"/>
    </row>
    <row r="33" spans="1:10" s="30" customFormat="1" ht="13.2" outlineLevel="1">
      <c r="A33" s="49"/>
      <c r="B33" s="50"/>
      <c r="C33" s="51"/>
      <c r="D33" s="105"/>
      <c r="E33" s="106"/>
      <c r="F33" s="51"/>
      <c r="G33" s="51"/>
      <c r="H33" s="89"/>
      <c r="I33" s="51"/>
      <c r="J33" s="51"/>
    </row>
    <row r="34" spans="1:10" s="30" customFormat="1" ht="13.8" customHeight="1" outlineLevel="1">
      <c r="A34" s="49"/>
      <c r="B34" s="50"/>
      <c r="C34" s="51"/>
      <c r="D34" s="105"/>
      <c r="E34" s="106"/>
      <c r="F34" s="51"/>
      <c r="G34" s="51"/>
      <c r="H34" s="89"/>
      <c r="I34" s="51"/>
      <c r="J34" s="51"/>
    </row>
    <row r="35" spans="1:10" ht="12" customHeight="1"/>
    <row r="36" spans="1:10" ht="12" customHeight="1"/>
    <row r="37" spans="1:10" ht="12" customHeight="1"/>
    <row r="38" spans="1:10" ht="12" customHeight="1"/>
    <row r="39" spans="1:10" ht="12" customHeight="1"/>
    <row r="40" spans="1:10" ht="12" customHeight="1"/>
    <row r="41" spans="1:10" ht="12" customHeight="1"/>
    <row r="42" spans="1:10" ht="12" customHeight="1"/>
    <row r="43" spans="1:10" ht="12" customHeight="1"/>
    <row r="44" spans="1:10" ht="12" customHeight="1"/>
    <row r="45" spans="1:10" ht="12" customHeight="1"/>
    <row r="46" spans="1:10" ht="12" customHeight="1"/>
    <row r="47" spans="1:10" ht="12" customHeight="1"/>
    <row r="48" spans="1:10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</sheetData>
  <mergeCells count="40">
    <mergeCell ref="H3:J3"/>
    <mergeCell ref="B4:D4"/>
    <mergeCell ref="H4:J4"/>
    <mergeCell ref="B5:D5"/>
    <mergeCell ref="H5:J5"/>
    <mergeCell ref="H6:J6"/>
    <mergeCell ref="H7:J7"/>
    <mergeCell ref="A8:D8"/>
    <mergeCell ref="A11:J11"/>
    <mergeCell ref="A12:J12"/>
    <mergeCell ref="A9:A10"/>
    <mergeCell ref="B9:B10"/>
    <mergeCell ref="C9:C10"/>
    <mergeCell ref="G9:G10"/>
    <mergeCell ref="H9:H10"/>
    <mergeCell ref="I9:I10"/>
    <mergeCell ref="J9:J10"/>
    <mergeCell ref="A20:C20"/>
    <mergeCell ref="D27:E27"/>
    <mergeCell ref="A28:C28"/>
    <mergeCell ref="D34:E34"/>
    <mergeCell ref="D21:E21"/>
    <mergeCell ref="D30:E30"/>
    <mergeCell ref="D22:E22"/>
    <mergeCell ref="D23:E23"/>
    <mergeCell ref="D24:E24"/>
    <mergeCell ref="D25:E25"/>
    <mergeCell ref="D31:E31"/>
    <mergeCell ref="D32:E32"/>
    <mergeCell ref="D33:E33"/>
    <mergeCell ref="D18:E18"/>
    <mergeCell ref="B1:D2"/>
    <mergeCell ref="D9:F10"/>
    <mergeCell ref="B3:D3"/>
    <mergeCell ref="D19:E19"/>
    <mergeCell ref="D13:E13"/>
    <mergeCell ref="D17:E17"/>
    <mergeCell ref="D16:E16"/>
    <mergeCell ref="D15:E15"/>
    <mergeCell ref="D14:E14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0ED2-4B8F-4386-AEC9-67E105CBDE46}">
  <dimension ref="A1:L71"/>
  <sheetViews>
    <sheetView workbookViewId="0">
      <selection activeCell="B4" sqref="B4:D4"/>
    </sheetView>
  </sheetViews>
  <sheetFormatPr defaultColWidth="8.77734375" defaultRowHeight="13.8" outlineLevelRow="1"/>
  <cols>
    <col min="1" max="1" width="18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8.77734375" style="6"/>
    <col min="11" max="11" width="18" customWidth="1"/>
  </cols>
  <sheetData>
    <row r="1" spans="1:12" s="25" customFormat="1" ht="12.75" customHeight="1">
      <c r="A1" s="31" t="s">
        <v>0</v>
      </c>
      <c r="B1" s="107"/>
      <c r="C1" s="107"/>
      <c r="D1" s="107"/>
      <c r="E1" s="32"/>
      <c r="F1" s="32"/>
      <c r="G1" s="32"/>
      <c r="H1" s="32"/>
      <c r="I1" s="32"/>
      <c r="J1" s="52"/>
      <c r="K1" s="32"/>
      <c r="L1" s="33"/>
    </row>
    <row r="2" spans="1:12" s="25" customFormat="1" ht="11.25" customHeight="1" thickBot="1">
      <c r="A2" s="33"/>
      <c r="B2" s="108"/>
      <c r="C2" s="108"/>
      <c r="D2" s="108"/>
      <c r="E2" s="32"/>
      <c r="F2" s="32"/>
      <c r="G2" s="32"/>
      <c r="H2" s="32"/>
      <c r="I2" s="32"/>
      <c r="J2" s="52"/>
      <c r="K2" s="32"/>
      <c r="L2" s="33"/>
    </row>
    <row r="3" spans="1:12" s="26" customFormat="1" ht="15" customHeight="1">
      <c r="A3" s="34" t="s">
        <v>18</v>
      </c>
      <c r="B3" s="115" t="s">
        <v>4</v>
      </c>
      <c r="C3" s="115"/>
      <c r="D3" s="116"/>
      <c r="E3" s="35"/>
      <c r="F3" s="35"/>
      <c r="G3" s="35"/>
      <c r="H3" s="35"/>
      <c r="I3" s="122"/>
      <c r="J3" s="122"/>
      <c r="K3" s="122"/>
      <c r="L3" s="53"/>
    </row>
    <row r="4" spans="1:12" s="26" customFormat="1" ht="13.2">
      <c r="A4" s="36" t="s">
        <v>19</v>
      </c>
      <c r="B4" s="133" t="s">
        <v>48</v>
      </c>
      <c r="C4" s="134"/>
      <c r="D4" s="135"/>
      <c r="E4" s="35"/>
      <c r="F4" s="35"/>
      <c r="G4" s="35"/>
      <c r="H4" s="35"/>
      <c r="I4" s="122"/>
      <c r="J4" s="122"/>
      <c r="K4" s="122"/>
      <c r="L4" s="53"/>
    </row>
    <row r="5" spans="1:12" s="27" customFormat="1" ht="15" customHeight="1">
      <c r="A5" s="36" t="s">
        <v>20</v>
      </c>
      <c r="B5" s="136" t="s">
        <v>44</v>
      </c>
      <c r="C5" s="137"/>
      <c r="D5" s="138"/>
      <c r="E5" s="37"/>
      <c r="F5" s="37"/>
      <c r="G5" s="37"/>
      <c r="H5" s="37"/>
      <c r="I5" s="139"/>
      <c r="J5" s="139"/>
      <c r="K5" s="139"/>
      <c r="L5" s="54"/>
    </row>
    <row r="6" spans="1:12" s="26" customFormat="1" ht="15" customHeight="1">
      <c r="A6" s="38" t="s">
        <v>21</v>
      </c>
      <c r="B6" s="39">
        <f>COUNTIF(J12:J33,"Pass")</f>
        <v>0</v>
      </c>
      <c r="C6" s="40" t="s">
        <v>22</v>
      </c>
      <c r="D6" s="41">
        <f>COUNTIF(J10:J752,"Pending")</f>
        <v>0</v>
      </c>
      <c r="E6" s="42"/>
      <c r="F6" s="42"/>
      <c r="G6" s="42"/>
      <c r="H6" s="42"/>
      <c r="I6" s="122"/>
      <c r="J6" s="122"/>
      <c r="K6" s="122"/>
      <c r="L6" s="53"/>
    </row>
    <row r="7" spans="1:12" s="26" customFormat="1" ht="15" customHeight="1" thickBot="1">
      <c r="A7" s="43" t="s">
        <v>23</v>
      </c>
      <c r="B7" s="44">
        <f>COUNTIF(J12:J33,"Fail")</f>
        <v>0</v>
      </c>
      <c r="C7" s="45" t="s">
        <v>24</v>
      </c>
      <c r="D7" s="46">
        <f>COUNTIF(A12:A33, "TC*")</f>
        <v>1</v>
      </c>
      <c r="E7" s="47"/>
      <c r="F7" s="47"/>
      <c r="G7" s="47"/>
      <c r="H7" s="47"/>
      <c r="I7" s="122"/>
      <c r="J7" s="122"/>
      <c r="K7" s="122"/>
      <c r="L7" s="53"/>
    </row>
    <row r="8" spans="1:12" s="26" customFormat="1" ht="15" customHeight="1">
      <c r="A8" s="123"/>
      <c r="B8" s="123"/>
      <c r="C8" s="123"/>
      <c r="D8" s="123"/>
      <c r="E8" s="42"/>
      <c r="F8" s="42"/>
      <c r="G8" s="42"/>
      <c r="H8" s="42"/>
      <c r="I8" s="42"/>
      <c r="J8" s="55"/>
      <c r="K8" s="55"/>
      <c r="L8" s="53"/>
    </row>
    <row r="9" spans="1:12" s="28" customFormat="1" ht="12" customHeight="1">
      <c r="A9" s="127" t="s">
        <v>25</v>
      </c>
      <c r="B9" s="129" t="s">
        <v>26</v>
      </c>
      <c r="C9" s="127" t="s">
        <v>27</v>
      </c>
      <c r="D9" s="109" t="s">
        <v>28</v>
      </c>
      <c r="E9" s="110"/>
      <c r="F9" s="110"/>
      <c r="G9" s="111"/>
      <c r="H9" s="131" t="s">
        <v>29</v>
      </c>
      <c r="I9" s="132" t="s">
        <v>30</v>
      </c>
      <c r="J9" s="132" t="s">
        <v>31</v>
      </c>
      <c r="K9" s="132" t="s">
        <v>32</v>
      </c>
      <c r="L9" s="56"/>
    </row>
    <row r="10" spans="1:12" s="26" customFormat="1" ht="12" customHeight="1">
      <c r="A10" s="128"/>
      <c r="B10" s="130"/>
      <c r="C10" s="128"/>
      <c r="D10" s="112"/>
      <c r="E10" s="113"/>
      <c r="F10" s="113"/>
      <c r="G10" s="114"/>
      <c r="H10" s="127"/>
      <c r="I10" s="127"/>
      <c r="J10" s="127"/>
      <c r="K10" s="127"/>
      <c r="L10" s="53"/>
    </row>
    <row r="11" spans="1:12" s="29" customFormat="1" ht="15">
      <c r="A11" s="124"/>
      <c r="B11" s="124"/>
      <c r="C11" s="124"/>
      <c r="D11" s="124"/>
      <c r="E11" s="124"/>
      <c r="F11" s="124"/>
      <c r="G11" s="124"/>
      <c r="H11" s="124"/>
      <c r="I11" s="124"/>
      <c r="J11" s="124"/>
      <c r="K11" s="125"/>
    </row>
    <row r="12" spans="1:12" s="30" customFormat="1" ht="13.2">
      <c r="A12" s="117" t="s">
        <v>33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26"/>
    </row>
    <row r="13" spans="1:12" s="30" customFormat="1" ht="13.2" outlineLevel="1">
      <c r="A13" s="49" t="s">
        <v>45</v>
      </c>
      <c r="B13" s="50"/>
      <c r="C13" s="51"/>
      <c r="D13" s="142"/>
      <c r="E13" s="142"/>
      <c r="F13" s="142"/>
      <c r="G13" s="51"/>
      <c r="H13" s="51"/>
      <c r="I13" s="89"/>
      <c r="J13" s="51"/>
      <c r="K13" s="51"/>
    </row>
    <row r="14" spans="1:12" s="30" customFormat="1" ht="13.2" outlineLevel="1">
      <c r="A14" s="49"/>
      <c r="B14" s="50"/>
      <c r="C14" s="51"/>
      <c r="D14" s="141"/>
      <c r="E14" s="141"/>
      <c r="F14" s="141"/>
      <c r="G14" s="51"/>
      <c r="H14" s="51"/>
      <c r="I14" s="89"/>
      <c r="J14" s="51"/>
      <c r="K14" s="51"/>
    </row>
    <row r="15" spans="1:12" s="30" customFormat="1" ht="13.2" outlineLevel="1">
      <c r="A15" s="49"/>
      <c r="B15" s="50"/>
      <c r="C15" s="51"/>
      <c r="D15" s="141"/>
      <c r="E15" s="141"/>
      <c r="F15" s="141"/>
      <c r="G15" s="51"/>
      <c r="H15" s="51"/>
      <c r="I15" s="89"/>
      <c r="J15" s="51"/>
      <c r="K15" s="51"/>
    </row>
    <row r="16" spans="1:12" s="30" customFormat="1" ht="13.2" outlineLevel="1">
      <c r="A16" s="49"/>
      <c r="B16" s="50"/>
      <c r="C16" s="51"/>
      <c r="D16" s="141"/>
      <c r="E16" s="141"/>
      <c r="F16" s="141"/>
      <c r="G16" s="51"/>
      <c r="H16" s="51"/>
      <c r="I16" s="89"/>
      <c r="J16" s="51"/>
      <c r="K16" s="51"/>
    </row>
    <row r="17" spans="1:11" s="30" customFormat="1" ht="13.2" outlineLevel="1">
      <c r="A17" s="49"/>
      <c r="B17" s="50"/>
      <c r="C17" s="51"/>
      <c r="D17" s="141"/>
      <c r="E17" s="141"/>
      <c r="F17" s="141"/>
      <c r="G17" s="51"/>
      <c r="H17" s="51"/>
      <c r="I17" s="89"/>
      <c r="J17" s="51"/>
      <c r="K17" s="51"/>
    </row>
    <row r="18" spans="1:11" s="30" customFormat="1" ht="13.2" outlineLevel="1">
      <c r="A18" s="49"/>
      <c r="B18" s="50"/>
      <c r="C18" s="51"/>
      <c r="D18" s="141"/>
      <c r="E18" s="141"/>
      <c r="F18" s="141"/>
      <c r="G18" s="51"/>
      <c r="H18" s="51"/>
      <c r="I18" s="89"/>
      <c r="J18" s="51"/>
      <c r="K18" s="51"/>
    </row>
    <row r="19" spans="1:11" s="30" customFormat="1" ht="13.2" outlineLevel="1">
      <c r="A19" s="49"/>
      <c r="B19" s="50"/>
      <c r="C19" s="51"/>
      <c r="D19" s="141"/>
      <c r="E19" s="141"/>
      <c r="F19" s="141"/>
      <c r="G19" s="51"/>
      <c r="H19" s="51"/>
      <c r="I19" s="89"/>
      <c r="J19" s="51"/>
      <c r="K19" s="51"/>
    </row>
    <row r="20" spans="1:11" s="30" customFormat="1" ht="13.2" outlineLevel="1">
      <c r="A20" s="143"/>
      <c r="B20" s="144"/>
      <c r="C20" s="144"/>
      <c r="D20" s="48"/>
      <c r="E20" s="48"/>
      <c r="F20" s="48"/>
      <c r="G20" s="48"/>
      <c r="H20" s="48"/>
      <c r="I20" s="48"/>
      <c r="J20" s="48"/>
      <c r="K20" s="57"/>
    </row>
    <row r="21" spans="1:11" s="30" customFormat="1" ht="13.2" outlineLevel="1">
      <c r="A21" s="49"/>
      <c r="B21" s="50"/>
      <c r="C21" s="51"/>
      <c r="D21" s="141"/>
      <c r="E21" s="141"/>
      <c r="F21" s="141"/>
      <c r="G21" s="51"/>
      <c r="H21" s="51"/>
      <c r="I21" s="89"/>
      <c r="J21" s="51"/>
      <c r="K21" s="51"/>
    </row>
    <row r="22" spans="1:11" s="30" customFormat="1" ht="13.2" outlineLevel="1">
      <c r="A22" s="49"/>
      <c r="B22" s="50"/>
      <c r="C22" s="51"/>
      <c r="D22" s="141"/>
      <c r="E22" s="141"/>
      <c r="F22" s="141"/>
      <c r="G22" s="51"/>
      <c r="H22" s="51"/>
      <c r="I22" s="89"/>
      <c r="J22" s="51"/>
      <c r="K22" s="51"/>
    </row>
    <row r="23" spans="1:11" s="30" customFormat="1" ht="13.2" outlineLevel="1">
      <c r="A23" s="49"/>
      <c r="B23" s="50"/>
      <c r="C23" s="51"/>
      <c r="D23" s="141"/>
      <c r="E23" s="141"/>
      <c r="F23" s="141"/>
      <c r="G23" s="51"/>
      <c r="H23" s="51"/>
      <c r="I23" s="89"/>
      <c r="J23" s="51"/>
      <c r="K23" s="51"/>
    </row>
    <row r="24" spans="1:11" s="30" customFormat="1" ht="13.2" outlineLevel="1">
      <c r="A24" s="49"/>
      <c r="B24" s="50"/>
      <c r="C24" s="51"/>
      <c r="D24" s="141"/>
      <c r="E24" s="141"/>
      <c r="F24" s="141"/>
      <c r="G24" s="51"/>
      <c r="H24" s="51"/>
      <c r="I24" s="89"/>
      <c r="J24" s="51"/>
      <c r="K24" s="51"/>
    </row>
    <row r="25" spans="1:11" s="30" customFormat="1" ht="13.2" outlineLevel="1">
      <c r="A25" s="49"/>
      <c r="B25" s="50"/>
      <c r="C25" s="51"/>
      <c r="D25" s="141"/>
      <c r="E25" s="141"/>
      <c r="F25" s="141"/>
      <c r="G25" s="51"/>
      <c r="H25" s="51"/>
      <c r="I25" s="89"/>
      <c r="J25" s="51"/>
      <c r="K25" s="51"/>
    </row>
    <row r="26" spans="1:11" s="30" customFormat="1" ht="18" customHeight="1" outlineLevel="1">
      <c r="A26" s="49"/>
      <c r="B26" s="50"/>
      <c r="C26" s="51"/>
      <c r="D26" s="141"/>
      <c r="E26" s="141"/>
      <c r="F26" s="141"/>
      <c r="G26" s="51"/>
      <c r="H26" s="51"/>
      <c r="I26" s="89"/>
      <c r="J26" s="51"/>
      <c r="K26" s="51"/>
    </row>
    <row r="27" spans="1:11" s="30" customFormat="1" ht="13.2" outlineLevel="1">
      <c r="A27" s="143"/>
      <c r="B27" s="144"/>
      <c r="C27" s="144"/>
      <c r="D27" s="48"/>
      <c r="E27" s="48"/>
      <c r="F27" s="48"/>
      <c r="G27" s="48"/>
      <c r="H27" s="48"/>
      <c r="I27" s="48"/>
      <c r="J27" s="48"/>
      <c r="K27" s="57"/>
    </row>
    <row r="28" spans="1:11" s="30" customFormat="1" ht="13.2" outlineLevel="1">
      <c r="A28" s="49"/>
      <c r="B28" s="50"/>
      <c r="C28" s="51"/>
      <c r="D28" s="141"/>
      <c r="E28" s="141"/>
      <c r="F28" s="141"/>
      <c r="G28" s="51"/>
      <c r="H28" s="51"/>
      <c r="I28" s="89"/>
      <c r="J28" s="51"/>
      <c r="K28" s="51"/>
    </row>
    <row r="29" spans="1:11" s="30" customFormat="1" ht="13.2" outlineLevel="1">
      <c r="A29" s="49"/>
      <c r="B29" s="50"/>
      <c r="C29" s="51"/>
      <c r="D29" s="141"/>
      <c r="E29" s="141"/>
      <c r="F29" s="141"/>
      <c r="G29" s="51"/>
      <c r="H29" s="51"/>
      <c r="I29" s="89"/>
      <c r="J29" s="51"/>
      <c r="K29" s="51"/>
    </row>
    <row r="30" spans="1:11" s="30" customFormat="1" ht="13.2" outlineLevel="1">
      <c r="A30" s="49"/>
      <c r="B30" s="50"/>
      <c r="C30" s="51"/>
      <c r="D30" s="141"/>
      <c r="E30" s="141"/>
      <c r="F30" s="141"/>
      <c r="G30" s="51"/>
      <c r="H30" s="51"/>
      <c r="I30" s="89"/>
      <c r="J30" s="51"/>
      <c r="K30" s="51"/>
    </row>
    <row r="31" spans="1:11" s="30" customFormat="1" ht="13.2" outlineLevel="1">
      <c r="A31" s="49"/>
      <c r="B31" s="50"/>
      <c r="C31" s="51"/>
      <c r="D31" s="141"/>
      <c r="E31" s="141"/>
      <c r="F31" s="141"/>
      <c r="G31" s="51"/>
      <c r="H31" s="51"/>
      <c r="I31" s="89"/>
      <c r="J31" s="51"/>
      <c r="K31" s="51"/>
    </row>
    <row r="32" spans="1:11" s="30" customFormat="1" ht="13.2" outlineLevel="1">
      <c r="A32" s="49"/>
      <c r="B32" s="50"/>
      <c r="C32" s="51"/>
      <c r="D32" s="141"/>
      <c r="E32" s="141"/>
      <c r="F32" s="141"/>
      <c r="G32" s="51"/>
      <c r="H32" s="51"/>
      <c r="I32" s="89"/>
      <c r="J32" s="51"/>
      <c r="K32" s="51"/>
    </row>
    <row r="33" spans="1:11" s="30" customFormat="1" ht="13.8" customHeight="1" outlineLevel="1">
      <c r="A33" s="49"/>
      <c r="B33" s="50"/>
      <c r="C33" s="51"/>
      <c r="D33" s="141"/>
      <c r="E33" s="141"/>
      <c r="F33" s="141"/>
      <c r="G33" s="51"/>
      <c r="H33" s="51"/>
      <c r="I33" s="89"/>
      <c r="J33" s="51"/>
      <c r="K33" s="51"/>
    </row>
    <row r="34" spans="1:11" ht="12" customHeight="1"/>
    <row r="35" spans="1:11" ht="12" customHeight="1"/>
    <row r="36" spans="1:11" ht="12" customHeight="1"/>
    <row r="37" spans="1:11" ht="12" customHeight="1"/>
    <row r="38" spans="1:11" ht="12" customHeight="1"/>
    <row r="39" spans="1:11" ht="12" customHeight="1"/>
    <row r="40" spans="1:11" ht="12" customHeight="1"/>
    <row r="41" spans="1:11" ht="12" customHeight="1"/>
    <row r="42" spans="1:11" ht="12" customHeight="1"/>
    <row r="43" spans="1:11" ht="12" customHeight="1"/>
    <row r="44" spans="1:11" ht="12" customHeight="1"/>
    <row r="45" spans="1:11" ht="12" customHeight="1"/>
    <row r="46" spans="1:11" ht="12" customHeight="1"/>
    <row r="47" spans="1:11" ht="12" customHeight="1"/>
    <row r="48" spans="1:11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</sheetData>
  <mergeCells count="41">
    <mergeCell ref="B5:D5"/>
    <mergeCell ref="I5:K5"/>
    <mergeCell ref="B1:D2"/>
    <mergeCell ref="B3:D3"/>
    <mergeCell ref="I3:K3"/>
    <mergeCell ref="B4:D4"/>
    <mergeCell ref="I4:K4"/>
    <mergeCell ref="D15:F15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K9:K10"/>
    <mergeCell ref="A11:K11"/>
    <mergeCell ref="A12:K12"/>
    <mergeCell ref="D13:F13"/>
    <mergeCell ref="D14:F14"/>
    <mergeCell ref="A27:C27"/>
    <mergeCell ref="D16:F16"/>
    <mergeCell ref="D17:F17"/>
    <mergeCell ref="D18:F18"/>
    <mergeCell ref="D19:F19"/>
    <mergeCell ref="A20:C20"/>
    <mergeCell ref="D21:F21"/>
    <mergeCell ref="D33:F33"/>
    <mergeCell ref="D22:F22"/>
    <mergeCell ref="D23:F23"/>
    <mergeCell ref="D24:F24"/>
    <mergeCell ref="D25:F25"/>
    <mergeCell ref="D26:F26"/>
    <mergeCell ref="D28:F28"/>
    <mergeCell ref="D29:F29"/>
    <mergeCell ref="D30:F30"/>
    <mergeCell ref="D31:F31"/>
    <mergeCell ref="D32:F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selection activeCell="C9" sqref="C9"/>
    </sheetView>
  </sheetViews>
  <sheetFormatPr defaultColWidth="8.77734375" defaultRowHeight="13.2"/>
  <cols>
    <col min="3" max="3" width="22.77734375" customWidth="1"/>
    <col min="7" max="7" width="18.77734375" customWidth="1"/>
  </cols>
  <sheetData>
    <row r="1" spans="1:7" ht="22.2">
      <c r="A1" s="2" t="s">
        <v>34</v>
      </c>
      <c r="B1" s="3"/>
      <c r="C1" s="4"/>
      <c r="D1" s="4"/>
      <c r="E1" s="4"/>
      <c r="F1" s="4"/>
      <c r="G1" s="5"/>
    </row>
    <row r="2" spans="1:7" ht="14.25" customHeight="1">
      <c r="A2" s="2"/>
      <c r="B2" s="3"/>
      <c r="C2" s="4"/>
      <c r="D2" s="4"/>
      <c r="E2" s="4"/>
      <c r="F2" s="4"/>
      <c r="G2" s="5"/>
    </row>
    <row r="3" spans="1:7" ht="13.8">
      <c r="B3" s="6" t="s">
        <v>35</v>
      </c>
      <c r="C3" s="4"/>
      <c r="D3" s="4"/>
      <c r="E3" s="4"/>
      <c r="F3" s="4"/>
      <c r="G3" s="5"/>
    </row>
    <row r="4" spans="1:7" ht="13.8">
      <c r="B4" s="6" t="s">
        <v>36</v>
      </c>
      <c r="C4" s="7"/>
      <c r="D4" s="6"/>
      <c r="E4" s="6"/>
      <c r="F4" s="6"/>
      <c r="G4" s="6"/>
    </row>
    <row r="5" spans="1:7" ht="13.8">
      <c r="A5" s="6"/>
      <c r="B5" s="6"/>
      <c r="C5" s="6"/>
      <c r="D5" s="6"/>
      <c r="E5" s="6"/>
      <c r="F5" s="6"/>
      <c r="G5" s="6"/>
    </row>
    <row r="6" spans="1:7" ht="13.8">
      <c r="A6" s="6"/>
      <c r="B6" s="6"/>
      <c r="C6" s="6"/>
      <c r="D6" s="6"/>
      <c r="E6" s="6"/>
      <c r="F6" s="6"/>
      <c r="G6" s="6"/>
    </row>
    <row r="7" spans="1:7" ht="26.4">
      <c r="A7" s="6"/>
      <c r="B7" s="8" t="s">
        <v>37</v>
      </c>
      <c r="C7" s="9" t="s">
        <v>38</v>
      </c>
      <c r="D7" s="10" t="s">
        <v>21</v>
      </c>
      <c r="E7" s="9" t="s">
        <v>23</v>
      </c>
      <c r="F7" s="9" t="s">
        <v>22</v>
      </c>
      <c r="G7" s="11" t="s">
        <v>39</v>
      </c>
    </row>
    <row r="8" spans="1:7" s="1" customFormat="1" ht="13.8">
      <c r="A8" s="12"/>
      <c r="B8" s="13">
        <v>1</v>
      </c>
      <c r="C8" s="94" t="str">
        <f>Models!B4</f>
        <v>CF_MD01_Models</v>
      </c>
      <c r="D8" s="15">
        <f>Models!B6</f>
        <v>0</v>
      </c>
      <c r="E8" s="14">
        <f>Models!B7</f>
        <v>0</v>
      </c>
      <c r="F8" s="14">
        <f>Models!D6</f>
        <v>0</v>
      </c>
      <c r="G8" s="15">
        <f>Models!D7</f>
        <v>1</v>
      </c>
    </row>
    <row r="9" spans="1:7" s="1" customFormat="1" ht="13.8">
      <c r="A9" s="12"/>
      <c r="B9" s="13">
        <v>2</v>
      </c>
      <c r="C9" s="94" t="str">
        <f>User!B4</f>
        <v>CFAPI_MD02_User</v>
      </c>
      <c r="D9" s="15">
        <f>User!B6</f>
        <v>0</v>
      </c>
      <c r="E9" s="14">
        <f>User!B7</f>
        <v>0</v>
      </c>
      <c r="F9" s="14">
        <f>User!D6</f>
        <v>0</v>
      </c>
      <c r="G9" s="15">
        <f>User!D7</f>
        <v>18</v>
      </c>
    </row>
    <row r="10" spans="1:7" s="1" customFormat="1" ht="13.8">
      <c r="A10" s="12"/>
      <c r="B10" s="13">
        <v>3</v>
      </c>
      <c r="C10" s="94" t="str">
        <f>Film!B4</f>
        <v>CFAPI_MD03_Film</v>
      </c>
      <c r="D10" s="15">
        <f>Film!B7</f>
        <v>0</v>
      </c>
      <c r="E10" s="14">
        <f>Film!B7</f>
        <v>0</v>
      </c>
      <c r="F10" s="14">
        <f>Film!D6</f>
        <v>0</v>
      </c>
      <c r="G10" s="15">
        <f>Film!D7</f>
        <v>1</v>
      </c>
    </row>
    <row r="11" spans="1:7" s="1" customFormat="1" ht="13.8">
      <c r="A11" s="12"/>
      <c r="B11" s="13"/>
      <c r="C11" s="94"/>
      <c r="D11" s="93"/>
      <c r="E11" s="14"/>
      <c r="F11" s="14"/>
      <c r="G11" s="15"/>
    </row>
    <row r="12" spans="1:7" s="1" customFormat="1" ht="13.8">
      <c r="A12" s="12"/>
      <c r="B12" s="13"/>
      <c r="C12" s="94"/>
      <c r="D12" s="93"/>
      <c r="E12" s="14"/>
      <c r="F12" s="14"/>
      <c r="G12" s="15"/>
    </row>
    <row r="13" spans="1:7" s="1" customFormat="1" ht="13.8">
      <c r="A13" s="12"/>
      <c r="B13" s="13"/>
      <c r="C13" s="94"/>
      <c r="D13" s="93"/>
      <c r="E13" s="14"/>
      <c r="F13" s="14"/>
      <c r="G13" s="15"/>
    </row>
    <row r="14" spans="1:7" s="1" customFormat="1" ht="13.8">
      <c r="A14" s="12"/>
      <c r="B14" s="13"/>
      <c r="C14" s="94"/>
      <c r="D14" s="93"/>
      <c r="E14" s="14"/>
      <c r="F14" s="14"/>
      <c r="G14" s="15"/>
    </row>
    <row r="15" spans="1:7" s="1" customFormat="1" ht="13.8">
      <c r="A15" s="12"/>
      <c r="B15" s="13"/>
      <c r="C15" s="94"/>
      <c r="D15" s="93"/>
      <c r="E15" s="14"/>
      <c r="F15" s="14"/>
      <c r="G15" s="15"/>
    </row>
    <row r="16" spans="1:7" s="1" customFormat="1" ht="13.8">
      <c r="A16" s="12"/>
      <c r="B16" s="13"/>
      <c r="C16" s="94"/>
      <c r="D16" s="93"/>
      <c r="E16" s="14"/>
      <c r="F16" s="14"/>
      <c r="G16" s="15"/>
    </row>
    <row r="17" spans="1:7" s="1" customFormat="1" ht="13.8">
      <c r="A17" s="12"/>
      <c r="B17" s="13"/>
      <c r="C17" s="94"/>
      <c r="D17" s="93"/>
      <c r="E17" s="14"/>
      <c r="F17" s="14"/>
      <c r="G17" s="15"/>
    </row>
    <row r="18" spans="1:7" ht="13.8">
      <c r="A18" s="6"/>
      <c r="B18" s="90"/>
      <c r="C18" s="95"/>
      <c r="D18" s="91"/>
      <c r="E18" s="73"/>
      <c r="F18" s="73"/>
      <c r="G18" s="92"/>
    </row>
    <row r="19" spans="1:7" ht="13.8">
      <c r="A19" s="6"/>
      <c r="B19" s="16"/>
      <c r="C19" s="17" t="s">
        <v>40</v>
      </c>
      <c r="D19" s="18">
        <f>SUM(D6:D18)</f>
        <v>0</v>
      </c>
      <c r="E19" s="18">
        <f>SUM(E6:E18)</f>
        <v>0</v>
      </c>
      <c r="F19" s="18">
        <f>SUM(F6:F18)</f>
        <v>0</v>
      </c>
      <c r="G19" s="19">
        <f>SUM(G6:G18)</f>
        <v>20</v>
      </c>
    </row>
    <row r="20" spans="1:7" ht="13.8">
      <c r="A20" s="6"/>
      <c r="B20" s="20"/>
      <c r="C20" s="6"/>
      <c r="D20" s="21"/>
      <c r="E20" s="22"/>
      <c r="F20" s="22"/>
      <c r="G20" s="22"/>
    </row>
    <row r="21" spans="1:7" ht="13.8">
      <c r="A21" s="6"/>
      <c r="B21" s="6"/>
      <c r="C21" s="6" t="s">
        <v>41</v>
      </c>
      <c r="D21" s="6"/>
      <c r="E21" s="23">
        <f>(D19+E19)*100/G19</f>
        <v>0</v>
      </c>
      <c r="F21" s="6" t="s">
        <v>42</v>
      </c>
      <c r="G21" s="24"/>
    </row>
    <row r="22" spans="1:7" ht="13.8">
      <c r="A22" s="6"/>
      <c r="B22" s="6"/>
      <c r="C22" s="6" t="s">
        <v>43</v>
      </c>
      <c r="D22" s="6"/>
      <c r="E22" s="23">
        <f>D19*100/G19</f>
        <v>0</v>
      </c>
      <c r="F22" s="6" t="s">
        <v>42</v>
      </c>
      <c r="G22" s="24"/>
    </row>
  </sheetData>
  <pageMargins left="0.75" right="0.75" top="1" bottom="1" header="0.5" footer="0.5"/>
  <pageSetup orientation="landscape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Models</vt:lpstr>
      <vt:lpstr>User</vt:lpstr>
      <vt:lpstr>Film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HUỲNH VĂN QUẾ KHOA</cp:lastModifiedBy>
  <cp:lastPrinted>2006-08-02T10:15:00Z</cp:lastPrinted>
  <dcterms:created xsi:type="dcterms:W3CDTF">2002-07-27T17:17:00Z</dcterms:created>
  <dcterms:modified xsi:type="dcterms:W3CDTF">2026-03-20T13:22:16Z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  <property fmtid="{D5CDD505-2E9C-101B-9397-08002B2CF9AE}" pid="3" name="ICV">
    <vt:lpwstr>29E415EA08FC481E94D37D75FB6B144B_12</vt:lpwstr>
  </property>
  <property fmtid="{D5CDD505-2E9C-101B-9397-08002B2CF9AE}" pid="4" name="KSOProductBuildVer">
    <vt:lpwstr>1033-12.9.0.21549</vt:lpwstr>
  </property>
</Properties>
</file>